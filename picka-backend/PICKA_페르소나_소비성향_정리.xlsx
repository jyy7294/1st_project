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인물소개" sheetId="1" state="visible" r:id="rId3"/>
    <sheet name="소비성향" sheetId="2" state="visible" r:id="rId4"/>
    <sheet name="카테고리별지출" sheetId="3" state="visible" r:id="rId5"/>
    <sheet name="거래데이터" sheetId="4" state="visible" r:id="rId6"/>
  </sheets>
  <definedNames>
    <definedName function="false" hidden="true" localSheetId="3" name="_xlnm._FilterDatabase" vbProcedure="false">거래데이터!$A$1:$Q$457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<sst xmlns="http://schemas.openxmlformats.org/spreadsheetml/2006/main" count="5104" uniqueCount="623">
  <si>
    <r>
      <rPr>
        <b val="true"/>
        <sz val="14"/>
        <color rgb="FFFFFFFF"/>
        <rFont val="맑은 고딕"/>
        <family val="0"/>
        <charset val="1"/>
      </rPr>
      <t xml:space="preserve">PICKA </t>
    </r>
    <r>
      <rPr>
        <b val="true"/>
        <sz val="14"/>
        <color rgb="FFFFFFFF"/>
        <rFont val="Noto Sans CJK SC"/>
        <family val="2"/>
      </rPr>
      <t xml:space="preserve">페르소나 인물 소개</t>
    </r>
  </si>
  <si>
    <t xml:space="preserve">구분</t>
  </si>
  <si>
    <t xml:space="preserve">김서연</t>
  </si>
  <si>
    <t xml:space="preserve">박준혁</t>
  </si>
  <si>
    <t xml:space="preserve">이지훈</t>
  </si>
  <si>
    <t xml:space="preserve">정은주</t>
  </si>
  <si>
    <t xml:space="preserve">ID</t>
  </si>
  <si>
    <t xml:space="preserve">persona1</t>
  </si>
  <si>
    <t xml:space="preserve">persona2</t>
  </si>
  <si>
    <t xml:space="preserve">persona3</t>
  </si>
  <si>
    <t xml:space="preserve">persona4</t>
  </si>
  <si>
    <t xml:space="preserve">이름</t>
  </si>
  <si>
    <r>
      <rPr>
        <b val="true"/>
        <sz val="10"/>
        <rFont val="Noto Sans CJK SC"/>
        <family val="2"/>
      </rPr>
      <t xml:space="preserve">나이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성별</t>
    </r>
  </si>
  <si>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세 여성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</si>
  <si>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세 남성</t>
    </r>
  </si>
  <si>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세 남성</t>
    </r>
  </si>
  <si>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세 여성</t>
    </r>
  </si>
  <si>
    <t xml:space="preserve">직업</t>
  </si>
  <si>
    <t xml:space="preserve">대학생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</si>
  <si>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기업 개발자</t>
    </r>
  </si>
  <si>
    <t xml:space="preserve">직장인</t>
  </si>
  <si>
    <t xml:space="preserve">전업주부</t>
  </si>
  <si>
    <t xml:space="preserve">거주지</t>
  </si>
  <si>
    <t xml:space="preserve">서울 마포구</t>
  </si>
  <si>
    <t xml:space="preserve">경기도 성남시</t>
  </si>
  <si>
    <t xml:space="preserve">경기도 수원시</t>
  </si>
  <si>
    <t xml:space="preserve">서울 양천구</t>
  </si>
  <si>
    <t xml:space="preserve">자녀</t>
  </si>
  <si>
    <t xml:space="preserve">없음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</si>
  <si>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영아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세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개월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</si>
  <si>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고등학생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세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개월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중학생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만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개월 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</si>
  <si>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한 줄 소개</t>
  </si>
  <si>
    <t xml:space="preserve">자기관리와 여행을 즐기는 합리적 소비자</t>
  </si>
  <si>
    <t xml:space="preserve">실용적 소비를 추구하는 차량 보유자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</si>
  <si>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개월 아기 양육 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 중심의 소비</t>
    </r>
  </si>
  <si>
    <r>
      <rPr>
        <sz val="10"/>
        <rFont val="Noto Sans CJK SC"/>
        <family val="2"/>
      </rPr>
      <t xml:space="preserve">자녀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고등학생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교육비와 생활비 관리 중심</t>
    </r>
  </si>
  <si>
    <r>
      <rPr>
        <b val="true"/>
        <sz val="10"/>
        <rFont val="Noto Sans CJK SC"/>
        <family val="2"/>
      </rPr>
      <t xml:space="preserve">월 예산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</si>
  <si>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기록 기간</t>
  </si>
  <si>
    <t xml:space="preserve">2026-05~2026-07</t>
  </si>
  <si>
    <t xml:space="preserve">통신사</t>
  </si>
  <si>
    <t xml:space="preserve">KT</t>
  </si>
  <si>
    <t xml:space="preserve">SKT</t>
  </si>
  <si>
    <t xml:space="preserve">LGU+</t>
  </si>
  <si>
    <t xml:space="preserve">주 이동수단</t>
  </si>
  <si>
    <r>
      <rPr>
        <sz val="10"/>
        <rFont val="Noto Sans CJK SC"/>
        <family val="2"/>
      </rPr>
      <t xml:space="preserve">대중교통 </t>
    </r>
    <r>
      <rPr>
        <sz val="10"/>
        <rFont val="맑은 고딕"/>
        <family val="0"/>
        <charset val="1"/>
      </rPr>
      <t xml:space="preserve">(K-</t>
    </r>
    <r>
      <rPr>
        <sz val="10"/>
        <rFont val="Noto Sans CJK SC"/>
        <family val="2"/>
      </rPr>
      <t xml:space="preserve">패스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</si>
  <si>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자가용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하이패스</t>
    </r>
    <r>
      <rPr>
        <sz val="10"/>
        <rFont val="맑은 고딕"/>
        <family val="0"/>
        <charset val="1"/>
      </rPr>
      <t xml:space="preserve">)</t>
    </r>
  </si>
  <si>
    <t xml:space="preserve">주 쇼핑 제휴</t>
  </si>
  <si>
    <t xml:space="preserve">해당 없음</t>
  </si>
  <si>
    <t xml:space="preserve">이마트</t>
  </si>
  <si>
    <t xml:space="preserve">롯데</t>
  </si>
  <si>
    <t xml:space="preserve">멤버십</t>
  </si>
  <si>
    <r>
      <rPr>
        <sz val="10"/>
        <rFont val="Noto Sans CJK SC"/>
        <family val="2"/>
      </rPr>
      <t xml:space="preserve">스타벅스 리워드</t>
    </r>
    <r>
      <rPr>
        <sz val="10"/>
        <rFont val="맑은 고딕"/>
        <family val="0"/>
        <charset val="1"/>
      </rPr>
      <t xml:space="preserve">, CJ ONE, </t>
    </r>
    <r>
      <rPr>
        <sz val="10"/>
        <rFont val="Noto Sans CJK SC"/>
        <family val="2"/>
      </rPr>
      <t xml:space="preserve">대한항공 </t>
    </r>
    <r>
      <rPr>
        <sz val="10"/>
        <rFont val="맑은 고딕"/>
        <family val="0"/>
        <charset val="1"/>
      </rPr>
      <t xml:space="preserve">SKYPASS, </t>
    </r>
    <r>
      <rPr>
        <sz val="10"/>
        <rFont val="Noto Sans CJK SC"/>
        <family val="2"/>
      </rPr>
      <t xml:space="preserve">네이버플러스 멤버십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신세계포인트</t>
    </r>
  </si>
  <si>
    <r>
      <rPr>
        <sz val="10"/>
        <rFont val="맑은 고딕"/>
        <family val="0"/>
        <charset val="1"/>
      </rPr>
      <t xml:space="preserve">T </t>
    </r>
    <r>
      <rPr>
        <sz val="10"/>
        <rFont val="Noto Sans CJK SC"/>
        <family val="2"/>
      </rPr>
      <t xml:space="preserve">멤버십</t>
    </r>
    <r>
      <rPr>
        <sz val="10"/>
        <rFont val="맑은 고딕"/>
        <family val="0"/>
        <charset val="1"/>
      </rPr>
      <t xml:space="preserve">, GS&amp;POINT, MY S-OIL, </t>
    </r>
    <r>
      <rPr>
        <sz val="10"/>
        <rFont val="Noto Sans CJK SC"/>
        <family val="2"/>
      </rPr>
      <t xml:space="preserve">네이버플러스 멤버십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현대자동차 블루멤버스</t>
    </r>
  </si>
  <si>
    <r>
      <rPr>
        <sz val="10"/>
        <rFont val="Noto Sans CJK SC"/>
        <family val="2"/>
      </rPr>
      <t xml:space="preserve">쿠팡 와우 멤버십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신세계포인트</t>
    </r>
    <r>
      <rPr>
        <sz val="10"/>
        <rFont val="맑은 고딕"/>
        <family val="0"/>
        <charset val="1"/>
      </rPr>
      <t xml:space="preserve">, CJ ONE, </t>
    </r>
    <r>
      <rPr>
        <sz val="10"/>
        <rFont val="Noto Sans CJK SC"/>
        <family val="2"/>
      </rPr>
      <t xml:space="preserve">해피포인트</t>
    </r>
    <r>
      <rPr>
        <sz val="10"/>
        <rFont val="맑은 고딕"/>
        <family val="0"/>
        <charset val="1"/>
      </rPr>
      <t xml:space="preserve">, LG U+ </t>
    </r>
    <r>
      <rPr>
        <sz val="10"/>
        <rFont val="Noto Sans CJK SC"/>
        <family val="2"/>
      </rPr>
      <t xml:space="preserve">멤버십</t>
    </r>
  </si>
  <si>
    <r>
      <rPr>
        <sz val="10"/>
        <rFont val="맑은 고딕"/>
        <family val="0"/>
        <charset val="1"/>
      </rPr>
      <t xml:space="preserve">L.POINT, </t>
    </r>
    <r>
      <rPr>
        <sz val="10"/>
        <rFont val="Noto Sans CJK SC"/>
        <family val="2"/>
      </rPr>
      <t xml:space="preserve">신세계포인트</t>
    </r>
    <r>
      <rPr>
        <sz val="10"/>
        <rFont val="맑은 고딕"/>
        <family val="0"/>
        <charset val="1"/>
      </rPr>
      <t xml:space="preserve">, CJ ONE, </t>
    </r>
    <r>
      <rPr>
        <sz val="10"/>
        <rFont val="Noto Sans CJK SC"/>
        <family val="2"/>
      </rPr>
      <t xml:space="preserve">해피포인트</t>
    </r>
    <r>
      <rPr>
        <sz val="10"/>
        <rFont val="맑은 고딕"/>
        <family val="0"/>
        <charset val="1"/>
      </rPr>
      <t xml:space="preserve">, T </t>
    </r>
    <r>
      <rPr>
        <sz val="10"/>
        <rFont val="Noto Sans CJK SC"/>
        <family val="2"/>
      </rPr>
      <t xml:space="preserve">멤버십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교보문고 회원</t>
    </r>
  </si>
  <si>
    <t xml:space="preserve">보유 카드 수</t>
  </si>
  <si>
    <t xml:space="preserve">보유 카드</t>
  </si>
  <si>
    <r>
      <rPr>
        <sz val="10"/>
        <rFont val="Noto Sans CJK SC"/>
        <family val="2"/>
      </rPr>
      <t xml:space="preserve">노리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체크카드</t>
    </r>
    <r>
      <rPr>
        <sz val="10"/>
        <rFont val="맑은 고딕"/>
        <family val="0"/>
        <charset val="1"/>
      </rPr>
      <t xml:space="preserve">(Global)
</t>
    </r>
    <r>
      <rPr>
        <sz val="10"/>
        <rFont val="Noto Sans CJK SC"/>
        <family val="2"/>
      </rPr>
      <t xml:space="preserve">청춘대로 톡톡카드
디지로카 </t>
    </r>
    <r>
      <rPr>
        <sz val="10"/>
        <rFont val="맑은 고딕"/>
        <family val="0"/>
        <charset val="1"/>
      </rPr>
      <t xml:space="preserve">Travel</t>
    </r>
  </si>
  <si>
    <r>
      <rPr>
        <sz val="10"/>
        <rFont val="Noto Sans CJK SC"/>
        <family val="2"/>
      </rPr>
      <t xml:space="preserve">밸런스 카드
신한카드 </t>
    </r>
    <r>
      <rPr>
        <sz val="10"/>
        <rFont val="맑은 고딕"/>
        <family val="0"/>
        <charset val="1"/>
      </rPr>
      <t xml:space="preserve">Deep Oil</t>
    </r>
  </si>
  <si>
    <r>
      <rPr>
        <sz val="10"/>
        <rFont val="Noto Sans CJK SC"/>
        <family val="2"/>
      </rPr>
      <t xml:space="preserve">노리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체크카드</t>
    </r>
    <r>
      <rPr>
        <sz val="10"/>
        <rFont val="맑은 고딕"/>
        <family val="0"/>
        <charset val="1"/>
      </rPr>
      <t xml:space="preserve">(Global)
</t>
    </r>
    <r>
      <rPr>
        <sz val="10"/>
        <rFont val="Noto Sans CJK SC"/>
        <family val="2"/>
      </rPr>
      <t xml:space="preserve">신한카드 </t>
    </r>
    <r>
      <rPr>
        <sz val="10"/>
        <rFont val="맑은 고딕"/>
        <family val="0"/>
        <charset val="1"/>
      </rPr>
      <t xml:space="preserve">Mr.Life
</t>
    </r>
    <r>
      <rPr>
        <sz val="10"/>
        <rFont val="Noto Sans CJK SC"/>
        <family val="2"/>
      </rPr>
      <t xml:space="preserve">국민행복 삼성카드 </t>
    </r>
    <r>
      <rPr>
        <sz val="10"/>
        <rFont val="맑은 고딕"/>
        <family val="0"/>
        <charset val="1"/>
      </rPr>
      <t xml:space="preserve">V2</t>
    </r>
  </si>
  <si>
    <r>
      <rPr>
        <sz val="10"/>
        <rFont val="맑은 고딕"/>
        <family val="0"/>
        <charset val="1"/>
      </rPr>
      <t xml:space="preserve">KB YOU Prime </t>
    </r>
    <r>
      <rPr>
        <sz val="10"/>
        <rFont val="Noto Sans CJK SC"/>
        <family val="2"/>
      </rPr>
      <t xml:space="preserve">카드
</t>
    </r>
    <r>
      <rPr>
        <sz val="10"/>
        <rFont val="맑은 고딕"/>
        <family val="0"/>
        <charset val="1"/>
      </rPr>
      <t xml:space="preserve">I’m GREAT
LOCA 365 </t>
    </r>
    <r>
      <rPr>
        <sz val="10"/>
        <rFont val="Noto Sans CJK SC"/>
        <family val="2"/>
      </rPr>
      <t xml:space="preserve">카드
삼성 </t>
    </r>
    <r>
      <rPr>
        <sz val="10"/>
        <rFont val="맑은 고딕"/>
        <family val="0"/>
        <charset val="1"/>
      </rPr>
      <t xml:space="preserve">iD EDU </t>
    </r>
    <r>
      <rPr>
        <sz val="10"/>
        <rFont val="Noto Sans CJK SC"/>
        <family val="2"/>
      </rPr>
      <t xml:space="preserve">카드
신한카드 </t>
    </r>
    <r>
      <rPr>
        <sz val="10"/>
        <rFont val="맑은 고딕"/>
        <family val="0"/>
        <charset val="1"/>
      </rPr>
      <t xml:space="preserve">Mr.Life
DA@</t>
    </r>
    <r>
      <rPr>
        <sz val="10"/>
        <rFont val="Noto Sans CJK SC"/>
        <family val="2"/>
      </rPr>
      <t xml:space="preserve">카드의정석</t>
    </r>
  </si>
  <si>
    <t xml:space="preserve">카드별 역할</t>
  </si>
  <si>
    <r>
      <rPr>
        <sz val="10"/>
        <rFont val="Noto Sans CJK SC"/>
        <family val="2"/>
      </rPr>
      <t xml:space="preserve">노리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체크카드</t>
    </r>
    <r>
      <rPr>
        <sz val="10"/>
        <rFont val="맑은 고딕"/>
        <family val="0"/>
        <charset val="1"/>
      </rPr>
      <t xml:space="preserve">(Global):</t>
    </r>
    <r>
      <rPr>
        <sz val="10"/>
        <rFont val="Noto Sans CJK SC"/>
        <family val="2"/>
      </rPr>
      <t xml:space="preserve">생활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편의점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문화
청춘대로 톡톡카드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간편결제
디지로카 </t>
    </r>
    <r>
      <rPr>
        <sz val="10"/>
        <rFont val="맑은 고딕"/>
        <family val="0"/>
        <charset val="1"/>
      </rPr>
      <t xml:space="preserve">Travel:</t>
    </r>
    <r>
      <rPr>
        <sz val="10"/>
        <rFont val="Noto Sans CJK SC"/>
        <family val="2"/>
      </rPr>
      <t xml:space="preserve">국내여행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일반적립</t>
    </r>
  </si>
  <si>
    <r>
      <rPr>
        <sz val="10"/>
        <rFont val="Noto Sans CJK SC"/>
        <family val="2"/>
      </rPr>
      <t xml:space="preserve">밸런스 카드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대중교통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편의점
신한카드 </t>
    </r>
    <r>
      <rPr>
        <sz val="10"/>
        <rFont val="맑은 고딕"/>
        <family val="0"/>
        <charset val="1"/>
      </rPr>
      <t xml:space="preserve">Deep Oil:</t>
    </r>
    <r>
      <rPr>
        <sz val="10"/>
        <rFont val="Noto Sans CJK SC"/>
        <family val="2"/>
      </rPr>
      <t xml:space="preserve">주유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택시</t>
    </r>
  </si>
  <si>
    <r>
      <rPr>
        <sz val="10"/>
        <rFont val="Noto Sans CJK SC"/>
        <family val="2"/>
      </rPr>
      <t xml:space="preserve">노리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체크카드</t>
    </r>
    <r>
      <rPr>
        <sz val="10"/>
        <rFont val="맑은 고딕"/>
        <family val="0"/>
        <charset val="1"/>
      </rPr>
      <t xml:space="preserve">(Global):</t>
    </r>
    <r>
      <rPr>
        <sz val="10"/>
        <rFont val="Noto Sans CJK SC"/>
        <family val="2"/>
      </rPr>
      <t xml:space="preserve">구독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소액생활
신한카드 </t>
    </r>
    <r>
      <rPr>
        <sz val="10"/>
        <rFont val="맑은 고딕"/>
        <family val="0"/>
        <charset val="1"/>
      </rPr>
      <t xml:space="preserve">Mr.Life:</t>
    </r>
    <r>
      <rPr>
        <sz val="10"/>
        <rFont val="Noto Sans CJK SC"/>
        <family val="2"/>
      </rPr>
      <t xml:space="preserve">외식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온라인쇼핑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병원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약국
국민행복 삼성카드 </t>
    </r>
    <r>
      <rPr>
        <sz val="10"/>
        <rFont val="맑은 고딕"/>
        <family val="0"/>
        <charset val="1"/>
      </rPr>
      <t xml:space="preserve">V2:</t>
    </r>
    <r>
      <rPr>
        <sz val="10"/>
        <rFont val="Noto Sans CJK SC"/>
        <family val="2"/>
      </rPr>
      <t xml:space="preserve">육아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병원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관리비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</t>
    </r>
  </si>
  <si>
    <r>
      <rPr>
        <sz val="10"/>
        <rFont val="맑은 고딕"/>
        <family val="0"/>
        <charset val="1"/>
      </rPr>
      <t xml:space="preserve">KB YOU Prime 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대형마트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가족생활
</t>
    </r>
    <r>
      <rPr>
        <sz val="10"/>
        <rFont val="맑은 고딕"/>
        <family val="0"/>
        <charset val="1"/>
      </rPr>
      <t xml:space="preserve">I’m GREAT:</t>
    </r>
    <r>
      <rPr>
        <sz val="10"/>
        <rFont val="Noto Sans CJK SC"/>
        <family val="2"/>
      </rPr>
      <t xml:space="preserve">병원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약국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
</t>
    </r>
    <r>
      <rPr>
        <sz val="10"/>
        <rFont val="맑은 고딕"/>
        <family val="0"/>
        <charset val="1"/>
      </rPr>
      <t xml:space="preserve">LOCA 365 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통신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구독
삼성 </t>
    </r>
    <r>
      <rPr>
        <sz val="10"/>
        <rFont val="맑은 고딕"/>
        <family val="0"/>
        <charset val="1"/>
      </rPr>
      <t xml:space="preserve">iD EDU 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학원비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교육
신한카드 </t>
    </r>
    <r>
      <rPr>
        <sz val="10"/>
        <rFont val="맑은 고딕"/>
        <family val="0"/>
        <charset val="1"/>
      </rPr>
      <t xml:space="preserve">Mr.Life:</t>
    </r>
    <r>
      <rPr>
        <sz val="10"/>
        <rFont val="Noto Sans CJK SC"/>
        <family val="2"/>
      </rPr>
      <t xml:space="preserve">온라인장보기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쇼핑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외식
</t>
    </r>
    <r>
      <rPr>
        <sz val="10"/>
        <rFont val="맑은 고딕"/>
        <family val="0"/>
        <charset val="1"/>
      </rPr>
      <t xml:space="preserve">DA@</t>
    </r>
    <r>
      <rPr>
        <sz val="10"/>
        <rFont val="Noto Sans CJK SC"/>
        <family val="2"/>
      </rPr>
      <t xml:space="preserve">카드의정석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혜택 공백 일반결제</t>
    </r>
  </si>
  <si>
    <t xml:space="preserve">선호 혜택</t>
  </si>
  <si>
    <r>
      <rPr>
        <sz val="10"/>
        <rFont val="Noto Sans CJK SC"/>
        <family val="2"/>
      </rPr>
      <t xml:space="preserve">온라인쇼핑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배달앱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카페 적립률 높은 카드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대중교통 할인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영화 할인 혜택</t>
    </r>
  </si>
  <si>
    <r>
      <rPr>
        <sz val="10"/>
        <rFont val="Noto Sans CJK SC"/>
        <family val="2"/>
      </rPr>
      <t xml:space="preserve">주유 할인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대중교통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택시 적립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헬스장</t>
    </r>
    <r>
      <rPr>
        <sz val="10"/>
        <rFont val="맑은 고딕"/>
        <family val="0"/>
        <charset val="1"/>
      </rPr>
      <t xml:space="preserve">/PT </t>
    </r>
    <r>
      <rPr>
        <sz val="10"/>
        <rFont val="Noto Sans CJK SC"/>
        <family val="2"/>
      </rPr>
      <t xml:space="preserve">할인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배달앱 캐시백 카드</t>
    </r>
  </si>
  <si>
    <r>
      <rPr>
        <sz val="10"/>
        <rFont val="Noto Sans CJK SC"/>
        <family val="2"/>
      </rPr>
      <t xml:space="preserve">가족 공동카드는 육아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병원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공과금에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개인카드는 구독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외식 등에 구분해 혜택 비교</t>
    </r>
  </si>
  <si>
    <r>
      <rPr>
        <sz val="10"/>
        <rFont val="Noto Sans CJK SC"/>
        <family val="2"/>
      </rPr>
      <t xml:space="preserve">학원비 자동이체 할인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대형마트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쿠팡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컬리 적립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병원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약국 할인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통신비 캐시백 카드</t>
    </r>
  </si>
  <si>
    <r>
      <rPr>
        <b val="true"/>
        <sz val="14"/>
        <color rgb="FFFFFFFF"/>
        <rFont val="Noto Sans CJK SC"/>
        <family val="2"/>
      </rPr>
      <t xml:space="preserve">페르소나별 소비 성향 요약 </t>
    </r>
    <r>
      <rPr>
        <b val="true"/>
        <sz val="14"/>
        <color rgb="FFFFFFFF"/>
        <rFont val="맑은 고딕"/>
        <family val="0"/>
        <charset val="1"/>
      </rPr>
      <t xml:space="preserve">(2026-05 ~ 2026-07)</t>
    </r>
  </si>
  <si>
    <t xml:space="preserve">지표</t>
  </si>
  <si>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개월 총결제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</si>
  <si>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결제 건수</t>
  </si>
  <si>
    <r>
      <rPr>
        <b val="true"/>
        <sz val="10"/>
        <rFont val="Noto Sans CJK SC"/>
        <family val="2"/>
      </rPr>
      <t xml:space="preserve">건당 평균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</si>
  <si>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월평균 지출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</si>
  <si>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예산 대비 집행률</t>
  </si>
  <si>
    <r>
      <rPr>
        <b val="true"/>
        <sz val="10"/>
        <rFont val="맑은 고딕"/>
        <family val="0"/>
        <charset val="1"/>
      </rPr>
      <t xml:space="preserve">2026-05 </t>
    </r>
    <r>
      <rPr>
        <b val="true"/>
        <sz val="10"/>
        <rFont val="Noto Sans CJK SC"/>
        <family val="2"/>
      </rPr>
      <t xml:space="preserve">지출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</si>
  <si>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2026-06 </t>
    </r>
    <r>
      <rPr>
        <b val="true"/>
        <sz val="10"/>
        <rFont val="Noto Sans CJK SC"/>
        <family val="2"/>
      </rPr>
      <t xml:space="preserve">지출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</si>
  <si>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2026-07 </t>
    </r>
    <r>
      <rPr>
        <b val="true"/>
        <sz val="10"/>
        <rFont val="Noto Sans CJK SC"/>
        <family val="2"/>
      </rPr>
      <t xml:space="preserve">지출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</si>
  <si>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지출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위</t>
    </r>
  </si>
  <si>
    <r>
      <rPr>
        <sz val="10"/>
        <rFont val="Noto Sans CJK SC"/>
        <family val="2"/>
      </rPr>
      <t xml:space="preserve">백화점  </t>
    </r>
    <r>
      <rPr>
        <sz val="10"/>
        <rFont val="맑은 고딕"/>
        <family val="0"/>
        <charset val="1"/>
      </rPr>
      <t xml:space="preserve">(15.7%)</t>
    </r>
  </si>
  <si>
    <r>
      <rPr>
        <sz val="10"/>
        <rFont val="Noto Sans CJK SC"/>
        <family val="2"/>
      </rPr>
      <t xml:space="preserve">주유  </t>
    </r>
    <r>
      <rPr>
        <sz val="10"/>
        <rFont val="맑은 고딕"/>
        <family val="0"/>
        <charset val="1"/>
      </rPr>
      <t xml:space="preserve">(21.4%)</t>
    </r>
  </si>
  <si>
    <r>
      <rPr>
        <sz val="10"/>
        <rFont val="Noto Sans CJK SC"/>
        <family val="2"/>
      </rPr>
      <t xml:space="preserve">마트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쇼핑  </t>
    </r>
    <r>
      <rPr>
        <sz val="10"/>
        <rFont val="맑은 고딕"/>
        <family val="0"/>
        <charset val="1"/>
      </rPr>
      <t xml:space="preserve">(19.3%)</t>
    </r>
  </si>
  <si>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육아  </t>
    </r>
    <r>
      <rPr>
        <sz val="10"/>
        <rFont val="맑은 고딕"/>
        <family val="0"/>
        <charset val="1"/>
      </rPr>
      <t xml:space="preserve">(28.8%)</t>
    </r>
  </si>
  <si>
    <r>
      <rPr>
        <b val="true"/>
        <sz val="10"/>
        <rFont val="Noto Sans CJK SC"/>
        <family val="2"/>
      </rPr>
      <t xml:space="preserve">지출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위</t>
    </r>
  </si>
  <si>
    <r>
      <rPr>
        <sz val="10"/>
        <rFont val="Noto Sans CJK SC"/>
        <family val="2"/>
      </rPr>
      <t xml:space="preserve">외식  </t>
    </r>
    <r>
      <rPr>
        <sz val="10"/>
        <rFont val="맑은 고딕"/>
        <family val="0"/>
        <charset val="1"/>
      </rPr>
      <t xml:space="preserve">(11.1%)</t>
    </r>
  </si>
  <si>
    <r>
      <rPr>
        <sz val="10"/>
        <rFont val="Noto Sans CJK SC"/>
        <family val="2"/>
      </rPr>
      <t xml:space="preserve">외식  </t>
    </r>
    <r>
      <rPr>
        <sz val="10"/>
        <rFont val="맑은 고딕"/>
        <family val="0"/>
        <charset val="1"/>
      </rPr>
      <t xml:space="preserve">(11.0%)</t>
    </r>
  </si>
  <si>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육아  </t>
    </r>
    <r>
      <rPr>
        <sz val="10"/>
        <rFont val="맑은 고딕"/>
        <family val="0"/>
        <charset val="1"/>
      </rPr>
      <t xml:space="preserve">(18.3%)</t>
    </r>
  </si>
  <si>
    <r>
      <rPr>
        <sz val="10"/>
        <rFont val="Noto Sans CJK SC"/>
        <family val="2"/>
      </rPr>
      <t xml:space="preserve">마트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쇼핑  </t>
    </r>
    <r>
      <rPr>
        <sz val="10"/>
        <rFont val="맑은 고딕"/>
        <family val="0"/>
        <charset val="1"/>
      </rPr>
      <t xml:space="preserve">(18.3%)</t>
    </r>
  </si>
  <si>
    <r>
      <rPr>
        <b val="true"/>
        <sz val="10"/>
        <rFont val="Noto Sans CJK SC"/>
        <family val="2"/>
      </rPr>
      <t xml:space="preserve">지출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위</t>
    </r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</si>
  <si>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숙박  </t>
    </r>
    <r>
      <rPr>
        <sz val="10"/>
        <rFont val="맑은 고딕"/>
        <family val="0"/>
        <charset val="1"/>
      </rPr>
      <t xml:space="preserve">(6.9%)</t>
    </r>
  </si>
  <si>
    <r>
      <rPr>
        <sz val="10"/>
        <rFont val="Noto Sans CJK SC"/>
        <family val="2"/>
      </rPr>
      <t xml:space="preserve">항공  </t>
    </r>
    <r>
      <rPr>
        <sz val="10"/>
        <rFont val="맑은 고딕"/>
        <family val="0"/>
        <charset val="1"/>
      </rPr>
      <t xml:space="preserve">(7.3%)</t>
    </r>
  </si>
  <si>
    <r>
      <rPr>
        <sz val="10"/>
        <rFont val="Noto Sans CJK SC"/>
        <family val="2"/>
      </rPr>
      <t xml:space="preserve">항공  </t>
    </r>
    <r>
      <rPr>
        <sz val="10"/>
        <rFont val="맑은 고딕"/>
        <family val="0"/>
        <charset val="1"/>
      </rPr>
      <t xml:space="preserve">(15.3%)</t>
    </r>
  </si>
  <si>
    <r>
      <rPr>
        <sz val="10"/>
        <rFont val="Noto Sans CJK SC"/>
        <family val="2"/>
      </rPr>
      <t xml:space="preserve">공과금  </t>
    </r>
    <r>
      <rPr>
        <sz val="10"/>
        <rFont val="맑은 고딕"/>
        <family val="0"/>
        <charset val="1"/>
      </rPr>
      <t xml:space="preserve">(10.2%)</t>
    </r>
  </si>
  <si>
    <r>
      <rPr>
        <b val="true"/>
        <sz val="10"/>
        <rFont val="Noto Sans CJK SC"/>
        <family val="2"/>
      </rPr>
      <t xml:space="preserve">결제수단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신용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체크</t>
    </r>
    <r>
      <rPr>
        <b val="true"/>
        <sz val="10"/>
        <rFont val="맑은 고딕"/>
        <family val="0"/>
        <charset val="1"/>
      </rPr>
      <t xml:space="preserve">)</t>
    </r>
  </si>
  <si>
    <t xml:space="preserve">소비 패턴</t>
  </si>
  <si>
    <r>
      <rPr>
        <sz val="10"/>
        <rFont val="Noto Sans CJK SC"/>
        <family val="2"/>
      </rPr>
      <t xml:space="preserve">소액 다빈도형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교통 결제가 잦고 가끔 대형 지출이 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롯데백화점 </t>
    </r>
    <r>
      <rPr>
        <sz val="10"/>
        <rFont val="맑은 고딕"/>
        <family val="0"/>
        <charset val="1"/>
      </rPr>
      <t xml:space="preserve">54.6</t>
    </r>
    <r>
      <rPr>
        <sz val="10"/>
        <rFont val="Noto Sans CJK SC"/>
        <family val="2"/>
      </rPr>
      <t xml:space="preserve">만 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</si>
  <si>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차량 중심 고정지출형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주유 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건이 최대 비중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외식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구독 위주</t>
    </r>
  </si>
  <si>
    <r>
      <rPr>
        <sz val="10"/>
        <rFont val="Noto Sans CJK SC"/>
        <family val="2"/>
      </rPr>
      <t xml:space="preserve">육아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마트 정기지출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대형 이벤트성 결제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가족 항공권 </t>
    </r>
    <r>
      <rPr>
        <sz val="10"/>
        <rFont val="맑은 고딕"/>
        <family val="0"/>
        <charset val="1"/>
      </rPr>
      <t xml:space="preserve">108</t>
    </r>
    <r>
      <rPr>
        <sz val="10"/>
        <rFont val="Noto Sans CJK SC"/>
        <family val="2"/>
      </rPr>
      <t xml:space="preserve">만 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</si>
  <si>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고정비 집중형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학원비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교재비가 매달 반복되고 예산과 지출이 거의 일치</t>
    </r>
  </si>
  <si>
    <t xml:space="preserve">주요 가맹점</t>
  </si>
  <si>
    <r>
      <rPr>
        <sz val="10"/>
        <rFont val="Noto Sans CJK SC"/>
        <family val="2"/>
      </rPr>
      <t xml:space="preserve">스타벅스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티머니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카카오 </t>
    </r>
    <r>
      <rPr>
        <sz val="10"/>
        <rFont val="맑은 고딕"/>
        <family val="0"/>
        <charset val="1"/>
      </rPr>
      <t xml:space="preserve">T, </t>
    </r>
    <r>
      <rPr>
        <sz val="10"/>
        <rFont val="Noto Sans CJK SC"/>
        <family val="2"/>
      </rPr>
      <t xml:space="preserve">한식당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</si>
  <si>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에너지 주유소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한식당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스타벅스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김밥전문점</t>
    </r>
  </si>
  <si>
    <r>
      <rPr>
        <sz val="10"/>
        <rFont val="Noto Sans CJK SC"/>
        <family val="2"/>
      </rPr>
      <t xml:space="preserve">이마트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홈플러스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아이사랑몰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한식당</t>
    </r>
  </si>
  <si>
    <r>
      <rPr>
        <sz val="10"/>
        <rFont val="Noto Sans CJK SC"/>
        <family val="2"/>
      </rPr>
      <t xml:space="preserve">이마트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중등 영어학원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홈플러스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고등 수학학원</t>
    </r>
  </si>
  <si>
    <r>
      <rPr>
        <b val="true"/>
        <sz val="10"/>
        <rFont val="Noto Sans CJK SC"/>
        <family val="2"/>
      </rPr>
      <t xml:space="preserve">실수령 혜택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</si>
  <si>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잠재 혜택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</si>
  <si>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놓친 혜택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</si>
  <si>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혜택 손실률</t>
  </si>
  <si>
    <t xml:space="preserve">카드 오선택 건수</t>
  </si>
  <si>
    <t xml:space="preserve">한도 소진 건수</t>
  </si>
  <si>
    <t xml:space="preserve">혜택 정상 수령 건수</t>
  </si>
  <si>
    <t xml:space="preserve">적용 혜택 없음 건수</t>
  </si>
  <si>
    <t xml:space="preserve">핵심 진단</t>
  </si>
  <si>
    <r>
      <rPr>
        <sz val="10"/>
        <rFont val="Noto Sans CJK SC"/>
        <family val="2"/>
      </rPr>
      <t xml:space="preserve">체크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신용 혼용으로 혜택 분산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잘못된 카드 선택과 한도 소진이 비슷한 비중</t>
    </r>
  </si>
  <si>
    <r>
      <rPr>
        <sz val="10"/>
        <rFont val="Noto Sans CJK SC"/>
        <family val="2"/>
      </rPr>
      <t xml:space="preserve">카드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장으로 커버 한계 → 한도 소진이 최대 손실 원인 </t>
    </r>
    <r>
      <rPr>
        <sz val="10"/>
        <rFont val="맑은 고딕"/>
        <family val="0"/>
        <charset val="1"/>
      </rPr>
      <t xml:space="preserve">(61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</si>
  <si>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카드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장 역할 분리는 되어 있으나 실제 결제 시 오선택 </t>
    </r>
    <r>
      <rPr>
        <sz val="10"/>
        <rFont val="맑은 고딕"/>
        <family val="0"/>
        <charset val="1"/>
      </rPr>
      <t xml:space="preserve">45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</si>
  <si>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카드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장 보유에도 오선택 </t>
    </r>
    <r>
      <rPr>
        <sz val="10"/>
        <rFont val="맑은 고딕"/>
        <family val="0"/>
        <charset val="1"/>
      </rPr>
      <t xml:space="preserve">72</t>
    </r>
    <r>
      <rPr>
        <sz val="10"/>
        <rFont val="Noto Sans CJK SC"/>
        <family val="2"/>
      </rPr>
      <t xml:space="preserve">건 — 선택 실패가 압도적 손실 원인</t>
    </r>
  </si>
  <si>
    <r>
      <rPr>
        <i val="true"/>
        <sz val="9"/>
        <color rgb="FF666666"/>
        <rFont val="Noto Sans CJK SC"/>
        <family val="2"/>
      </rPr>
      <t xml:space="preserve">※ 모든 수치는 </t>
    </r>
    <r>
      <rPr>
        <i val="true"/>
        <sz val="9"/>
        <color rgb="FF666666"/>
        <rFont val="맑은 고딕"/>
        <family val="0"/>
        <charset val="1"/>
      </rPr>
      <t xml:space="preserve">[</t>
    </r>
    <r>
      <rPr>
        <i val="true"/>
        <sz val="9"/>
        <color rgb="FF666666"/>
        <rFont val="Noto Sans CJK SC"/>
        <family val="2"/>
      </rPr>
      <t xml:space="preserve">거래데이터</t>
    </r>
    <r>
      <rPr>
        <i val="true"/>
        <sz val="9"/>
        <color rgb="FF666666"/>
        <rFont val="맑은 고딕"/>
        <family val="0"/>
        <charset val="1"/>
      </rPr>
      <t xml:space="preserve">] </t>
    </r>
    <r>
      <rPr>
        <i val="true"/>
        <sz val="9"/>
        <color rgb="FF666666"/>
        <rFont val="Noto Sans CJK SC"/>
        <family val="2"/>
      </rPr>
      <t xml:space="preserve">시트의 </t>
    </r>
    <r>
      <rPr>
        <i val="true"/>
        <sz val="9"/>
        <color rgb="FF666666"/>
        <rFont val="맑은 고딕"/>
        <family val="0"/>
        <charset val="1"/>
      </rPr>
      <t xml:space="preserve">456</t>
    </r>
    <r>
      <rPr>
        <i val="true"/>
        <sz val="9"/>
        <color rgb="FF666666"/>
        <rFont val="Noto Sans CJK SC"/>
        <family val="2"/>
      </rPr>
      <t xml:space="preserve">건 원본 거래를 </t>
    </r>
    <r>
      <rPr>
        <i val="true"/>
        <sz val="9"/>
        <color rgb="FF666666"/>
        <rFont val="맑은 고딕"/>
        <family val="0"/>
        <charset val="1"/>
      </rPr>
      <t xml:space="preserve">SUMIFS/COUNTIFS</t>
    </r>
    <r>
      <rPr>
        <i val="true"/>
        <sz val="9"/>
        <color rgb="FF666666"/>
        <rFont val="Noto Sans CJK SC"/>
        <family val="2"/>
      </rPr>
      <t xml:space="preserve">로 집계한 값입니다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지출 순위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소비 패턴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핵심 진단은 집계 결과를 바탕으로 작성한 해석 텍스트입니다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</si>
  <si>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카테고리별 지출 비교</t>
  </si>
  <si>
    <t xml:space="preserve">카테고리</t>
  </si>
  <si>
    <t xml:space="preserve">김서연 금액</t>
  </si>
  <si>
    <t xml:space="preserve">박준혁 금액</t>
  </si>
  <si>
    <t xml:space="preserve">이지훈 금액</t>
  </si>
  <si>
    <t xml:space="preserve">정은주 금액</t>
  </si>
  <si>
    <t xml:space="preserve">김서연 비중</t>
  </si>
  <si>
    <t xml:space="preserve">박준혁 비중</t>
  </si>
  <si>
    <t xml:space="preserve">이지훈 비중</t>
  </si>
  <si>
    <t xml:space="preserve">정은주 비중</t>
  </si>
  <si>
    <t xml:space="preserve">합계</t>
  </si>
  <si>
    <r>
      <rPr>
        <b val="true"/>
        <sz val="10"/>
        <rFont val="Noto Sans CJK SC"/>
        <family val="2"/>
      </rPr>
      <t xml:space="preserve">교육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육아</t>
    </r>
  </si>
  <si>
    <r>
      <rPr>
        <b val="true"/>
        <sz val="10"/>
        <rFont val="Noto Sans CJK SC"/>
        <family val="2"/>
      </rPr>
      <t xml:space="preserve">마트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쇼핑</t>
    </r>
  </si>
  <si>
    <t xml:space="preserve">공과금</t>
  </si>
  <si>
    <t xml:space="preserve">주유</t>
  </si>
  <si>
    <t xml:space="preserve">항공</t>
  </si>
  <si>
    <t xml:space="preserve">외식</t>
  </si>
  <si>
    <t xml:space="preserve">생활</t>
  </si>
  <si>
    <t xml:space="preserve">백화점</t>
  </si>
  <si>
    <t xml:space="preserve">온라인쇼핑</t>
  </si>
  <si>
    <r>
      <rPr>
        <b val="true"/>
        <sz val="10"/>
        <rFont val="Noto Sans CJK SC"/>
        <family val="2"/>
      </rPr>
      <t xml:space="preserve">여행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숙박</t>
    </r>
  </si>
  <si>
    <t xml:space="preserve">통신</t>
  </si>
  <si>
    <t xml:space="preserve">의료</t>
  </si>
  <si>
    <t xml:space="preserve">교통</t>
  </si>
  <si>
    <t xml:space="preserve">간편결제</t>
  </si>
  <si>
    <t xml:space="preserve">자동차정비</t>
  </si>
  <si>
    <t xml:space="preserve">배달앱</t>
  </si>
  <si>
    <r>
      <rPr>
        <b val="true"/>
        <sz val="10"/>
        <rFont val="Noto Sans CJK SC"/>
        <family val="2"/>
      </rPr>
      <t xml:space="preserve">카페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디저트</t>
    </r>
  </si>
  <si>
    <r>
      <rPr>
        <b val="true"/>
        <sz val="10"/>
        <rFont val="Noto Sans CJK SC"/>
        <family val="2"/>
      </rPr>
      <t xml:space="preserve">뷰티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피트니스</t>
    </r>
  </si>
  <si>
    <t xml:space="preserve">레저</t>
  </si>
  <si>
    <t xml:space="preserve">프리미엄서비스</t>
  </si>
  <si>
    <r>
      <rPr>
        <b val="true"/>
        <sz val="10"/>
        <rFont val="Noto Sans CJK SC"/>
        <family val="2"/>
      </rPr>
      <t xml:space="preserve">구독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멤버십</t>
    </r>
  </si>
  <si>
    <t xml:space="preserve">해외</t>
  </si>
  <si>
    <t xml:space="preserve">편의점</t>
  </si>
  <si>
    <r>
      <rPr>
        <b val="true"/>
        <sz val="10"/>
        <rFont val="Noto Sans CJK SC"/>
        <family val="2"/>
      </rPr>
      <t xml:space="preserve">문화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영화</t>
    </r>
  </si>
  <si>
    <t xml:space="preserve">기타</t>
  </si>
  <si>
    <t xml:space="preserve">모든가맹점</t>
  </si>
  <si>
    <t xml:space="preserve">캐시백</t>
  </si>
  <si>
    <r>
      <rPr>
        <i val="true"/>
        <sz val="9"/>
        <color rgb="FF666666"/>
        <rFont val="Noto Sans CJK SC"/>
        <family val="2"/>
      </rPr>
      <t xml:space="preserve">※ 금액이 </t>
    </r>
    <r>
      <rPr>
        <i val="true"/>
        <sz val="9"/>
        <color rgb="FF666666"/>
        <rFont val="맑은 고딕"/>
        <family val="0"/>
        <charset val="1"/>
      </rPr>
      <t xml:space="preserve">0</t>
    </r>
    <r>
      <rPr>
        <i val="true"/>
        <sz val="9"/>
        <color rgb="FF666666"/>
        <rFont val="Noto Sans CJK SC"/>
        <family val="2"/>
      </rPr>
      <t xml:space="preserve">인 카테고리는 </t>
    </r>
    <r>
      <rPr>
        <i val="true"/>
        <sz val="9"/>
        <color rgb="FF666666"/>
        <rFont val="맑은 고딕"/>
        <family val="0"/>
        <charset val="1"/>
      </rPr>
      <t xml:space="preserve">"-"</t>
    </r>
    <r>
      <rPr>
        <i val="true"/>
        <sz val="9"/>
        <color rgb="FF666666"/>
        <rFont val="Noto Sans CJK SC"/>
        <family val="2"/>
      </rPr>
      <t xml:space="preserve">로 표시됩니다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비중은 각 페르소나의 </t>
    </r>
    <r>
      <rPr>
        <i val="true"/>
        <sz val="9"/>
        <color rgb="FF666666"/>
        <rFont val="맑은 고딕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개월 총결제액 대비 비율입니다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</si>
  <si>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페르소나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</si>
  <si>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이용월</t>
  </si>
  <si>
    <t xml:space="preserve">승인일시</t>
  </si>
  <si>
    <t xml:space="preserve">가맹점</t>
  </si>
  <si>
    <t xml:space="preserve">결제금액</t>
  </si>
  <si>
    <t xml:space="preserve">할인적용액</t>
  </si>
  <si>
    <t xml:space="preserve">최종승인액</t>
  </si>
  <si>
    <t xml:space="preserve">결제수단</t>
  </si>
  <si>
    <t xml:space="preserve">실제사용카드</t>
  </si>
  <si>
    <t xml:space="preserve">추천카드</t>
  </si>
  <si>
    <t xml:space="preserve">혜택시나리오</t>
  </si>
  <si>
    <t xml:space="preserve">실수령혜택</t>
  </si>
  <si>
    <t xml:space="preserve">잠재혜택</t>
  </si>
  <si>
    <t xml:space="preserve">놓친혜택</t>
  </si>
  <si>
    <t xml:space="preserve">놓친사유</t>
  </si>
  <si>
    <t xml:space="preserve">2026-05</t>
  </si>
  <si>
    <t xml:space="preserve">2026-05-02T09:10:00</t>
  </si>
  <si>
    <t xml:space="preserve">쿠팡</t>
  </si>
  <si>
    <t xml:space="preserve">체크카드</t>
  </si>
  <si>
    <r>
      <rPr>
        <sz val="10"/>
        <rFont val="Noto Sans CJK SC"/>
        <family val="2"/>
      </rPr>
      <t xml:space="preserve">노리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체크카드</t>
    </r>
    <r>
      <rPr>
        <sz val="10"/>
        <rFont val="맑은 고딕"/>
        <family val="0"/>
        <charset val="1"/>
      </rPr>
      <t xml:space="preserve">(Global)</t>
    </r>
  </si>
  <si>
    <t xml:space="preserve">청춘대로 톡톡카드</t>
  </si>
  <si>
    <t xml:space="preserve">WRONG_CARD_BEFORE_PICKA</t>
  </si>
  <si>
    <t xml:space="preserve">픽카 이용 전 다른 카드를 사용하여 받을 수 있었던 혜택을 놓침</t>
  </si>
  <si>
    <r>
      <rPr>
        <sz val="10"/>
        <rFont val="Noto Sans CJK SC"/>
        <family val="2"/>
      </rPr>
      <t xml:space="preserve">클래스</t>
    </r>
    <r>
      <rPr>
        <sz val="10"/>
        <rFont val="맑은 고딕"/>
        <family val="0"/>
        <charset val="1"/>
      </rPr>
      <t xml:space="preserve">101 </t>
    </r>
    <r>
      <rPr>
        <sz val="10"/>
        <rFont val="Noto Sans CJK SC"/>
        <family val="2"/>
      </rPr>
      <t xml:space="preserve">마케팅 강의</t>
    </r>
  </si>
  <si>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육아</t>
    </r>
  </si>
  <si>
    <t xml:space="preserve">신용카드</t>
  </si>
  <si>
    <t xml:space="preserve">CAP_EXHAUSTED</t>
  </si>
  <si>
    <t xml:space="preserve">해당 카드의 월 할인 한도가 이미 소진되어 추가 할인을 받지 못함</t>
  </si>
  <si>
    <t xml:space="preserve">스타벅스</t>
  </si>
  <si>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디저트</t>
    </r>
  </si>
  <si>
    <r>
      <rPr>
        <sz val="10"/>
        <rFont val="Noto Sans CJK SC"/>
        <family val="2"/>
      </rPr>
      <t xml:space="preserve">디지로카 </t>
    </r>
    <r>
      <rPr>
        <sz val="10"/>
        <rFont val="맑은 고딕"/>
        <family val="0"/>
        <charset val="1"/>
      </rPr>
      <t xml:space="preserve">Travel</t>
    </r>
  </si>
  <si>
    <t xml:space="preserve">2026-05-05T12:40:00</t>
  </si>
  <si>
    <t xml:space="preserve">배달의민족</t>
  </si>
  <si>
    <t xml:space="preserve">BENEFIT_RECEIVED</t>
  </si>
  <si>
    <t xml:space="preserve">네이버페이</t>
  </si>
  <si>
    <t xml:space="preserve">티머니</t>
  </si>
  <si>
    <t xml:space="preserve">NO_ELIGIBLE_BENEFIT</t>
  </si>
  <si>
    <t xml:space="preserve">보유 카드 중 해당 거래에 적용 가능한 확정 혜택 없음</t>
  </si>
  <si>
    <t xml:space="preserve">2026-05-09T18:20:00</t>
  </si>
  <si>
    <t xml:space="preserve">올리브영</t>
  </si>
  <si>
    <r>
      <rPr>
        <sz val="10"/>
        <rFont val="Noto Sans CJK SC"/>
        <family val="2"/>
      </rPr>
      <t xml:space="preserve">뷰티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피트니스</t>
    </r>
  </si>
  <si>
    <t xml:space="preserve">한국전력공사</t>
  </si>
  <si>
    <r>
      <rPr>
        <sz val="10"/>
        <rFont val="Noto Sans CJK SC"/>
        <family val="2"/>
      </rPr>
      <t xml:space="preserve">카카오 </t>
    </r>
    <r>
      <rPr>
        <sz val="10"/>
        <rFont val="맑은 고딕"/>
        <family val="0"/>
        <charset val="1"/>
      </rPr>
      <t xml:space="preserve">T</t>
    </r>
  </si>
  <si>
    <t xml:space="preserve">2026-05-12T21:15:00</t>
  </si>
  <si>
    <t xml:space="preserve">CGV</t>
  </si>
  <si>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영화</t>
    </r>
  </si>
  <si>
    <t xml:space="preserve">한식당</t>
  </si>
  <si>
    <t xml:space="preserve">CU</t>
  </si>
  <si>
    <t xml:space="preserve">2026-05-16T14:30:00</t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</si>
  <si>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텔레콤</t>
    </r>
  </si>
  <si>
    <t xml:space="preserve">대한항공</t>
  </si>
  <si>
    <t xml:space="preserve">넷플릭스</t>
  </si>
  <si>
    <r>
      <rPr>
        <sz val="10"/>
        <rFont val="Noto Sans CJK SC"/>
        <family val="2"/>
      </rPr>
      <t xml:space="preserve">구독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멤버십</t>
    </r>
  </si>
  <si>
    <t xml:space="preserve">2026-05-20T08:50:00</t>
  </si>
  <si>
    <t xml:space="preserve">다이소</t>
  </si>
  <si>
    <t xml:space="preserve">카카오페이</t>
  </si>
  <si>
    <t xml:space="preserve">서울교통공사</t>
  </si>
  <si>
    <t xml:space="preserve">2026-05-24T19:05:00</t>
  </si>
  <si>
    <r>
      <rPr>
        <sz val="10"/>
        <rFont val="Noto Sans CJK SC"/>
        <family val="2"/>
      </rPr>
      <t xml:space="preserve">마트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쇼핑</t>
    </r>
  </si>
  <si>
    <t xml:space="preserve">김밥전문점</t>
  </si>
  <si>
    <t xml:space="preserve">경기버스</t>
  </si>
  <si>
    <t xml:space="preserve">2026-05-28T22:10:00</t>
  </si>
  <si>
    <t xml:space="preserve">이탈리안 레스토랑</t>
  </si>
  <si>
    <t xml:space="preserve">메가커피</t>
  </si>
  <si>
    <t xml:space="preserve">투썸플레이스</t>
  </si>
  <si>
    <t xml:space="preserve">2026-06</t>
  </si>
  <si>
    <t xml:space="preserve">2026-06-01T08:50:00</t>
  </si>
  <si>
    <t xml:space="preserve">2026-06-01T13:05:00</t>
  </si>
  <si>
    <t xml:space="preserve">2026-06-01T14:15:00</t>
  </si>
  <si>
    <t xml:space="preserve">2026-06-02T10:15:00</t>
  </si>
  <si>
    <t xml:space="preserve">롯데백화점</t>
  </si>
  <si>
    <t xml:space="preserve">2026-06-02T21:50:00</t>
  </si>
  <si>
    <t xml:space="preserve">2026-06-03T11:35:00</t>
  </si>
  <si>
    <t xml:space="preserve">2026-06-03T19:00:00</t>
  </si>
  <si>
    <t xml:space="preserve">렌터카 세차비</t>
  </si>
  <si>
    <t xml:space="preserve">2026-06-04T19:30:00</t>
  </si>
  <si>
    <t xml:space="preserve">2026-06-04T23:55:00</t>
  </si>
  <si>
    <t xml:space="preserve">2026-06-05T16:00:00</t>
  </si>
  <si>
    <t xml:space="preserve">2026-06-05T21:40:00</t>
  </si>
  <si>
    <t xml:space="preserve">인천공항 라운지</t>
  </si>
  <si>
    <t xml:space="preserve">2026-06-06T14:30:00</t>
  </si>
  <si>
    <t xml:space="preserve">필라테스 스튜디오</t>
  </si>
  <si>
    <t xml:space="preserve">2026-06-06T20:10:00</t>
  </si>
  <si>
    <t xml:space="preserve">2026-06-07T19:35:00</t>
  </si>
  <si>
    <t xml:space="preserve">2026-06-07T21:15:00</t>
  </si>
  <si>
    <t xml:space="preserve">2026-06-08T08:50:00</t>
  </si>
  <si>
    <t xml:space="preserve">2026-06-08T13:25:00</t>
  </si>
  <si>
    <t xml:space="preserve">2026-06-08T16:50:00</t>
  </si>
  <si>
    <t xml:space="preserve">2026-06-09T20:25:00</t>
  </si>
  <si>
    <t xml:space="preserve">2026-06-09T22:30:00</t>
  </si>
  <si>
    <t xml:space="preserve">야놀자</t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</si>
  <si>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숙박</t>
    </r>
  </si>
  <si>
    <t xml:space="preserve">2026-06-09T22:45:00</t>
  </si>
  <si>
    <t xml:space="preserve">AMAZON.COM</t>
  </si>
  <si>
    <t xml:space="preserve">2026-06-10T11:20:00</t>
  </si>
  <si>
    <t xml:space="preserve">동네문구점</t>
  </si>
  <si>
    <t xml:space="preserve">2026-06-10T11:25:00</t>
  </si>
  <si>
    <t xml:space="preserve">2026-06-11T20:55:00</t>
  </si>
  <si>
    <t xml:space="preserve">쿠팡이츠</t>
  </si>
  <si>
    <t xml:space="preserve">2026-06-12T13:05:00</t>
  </si>
  <si>
    <t xml:space="preserve">파리바게뜨</t>
  </si>
  <si>
    <t xml:space="preserve">2026-06-12T15:50:00</t>
  </si>
  <si>
    <t xml:space="preserve">2026-06-13T19:20:00</t>
  </si>
  <si>
    <t xml:space="preserve">2026-06-13T19:50:00</t>
  </si>
  <si>
    <t xml:space="preserve">일식당</t>
  </si>
  <si>
    <t xml:space="preserve">2026-06-13T20:40:00</t>
  </si>
  <si>
    <t xml:space="preserve">일반 가맹점</t>
  </si>
  <si>
    <t xml:space="preserve">2026-06-14T13:20:00</t>
  </si>
  <si>
    <t xml:space="preserve">2026-06-14T23:05:00</t>
  </si>
  <si>
    <t xml:space="preserve">올리브영 홍대점</t>
  </si>
  <si>
    <t xml:space="preserve">2026-06-15T00:05:00</t>
  </si>
  <si>
    <t xml:space="preserve">2026-06-15T09:50:00</t>
  </si>
  <si>
    <t xml:space="preserve">홈플러스</t>
  </si>
  <si>
    <t xml:space="preserve">2026-06-15T14:20:00</t>
  </si>
  <si>
    <t xml:space="preserve">2026-06-16T20:45:00</t>
  </si>
  <si>
    <t xml:space="preserve">GS25</t>
  </si>
  <si>
    <t xml:space="preserve">2026-06-16T20:55:00</t>
  </si>
  <si>
    <t xml:space="preserve">토스페이</t>
  </si>
  <si>
    <t xml:space="preserve">2026-06-17T13:40:00</t>
  </si>
  <si>
    <t xml:space="preserve">2026-06-18T00:05:00</t>
  </si>
  <si>
    <t xml:space="preserve">2026-06-18T14:15:00</t>
  </si>
  <si>
    <t xml:space="preserve">무인양품</t>
  </si>
  <si>
    <t xml:space="preserve">2026-06-18T17:00:00</t>
  </si>
  <si>
    <t xml:space="preserve">패스트푸드</t>
  </si>
  <si>
    <t xml:space="preserve">2026-06-19T10:40:00</t>
  </si>
  <si>
    <t xml:space="preserve">2026-06-19T13:05:00</t>
  </si>
  <si>
    <t xml:space="preserve">제주 렌터카 주유</t>
  </si>
  <si>
    <t xml:space="preserve">2026-06-20T16:00:00</t>
  </si>
  <si>
    <t xml:space="preserve">피트니스센터</t>
  </si>
  <si>
    <t xml:space="preserve">2026-06-20T18:45:00</t>
  </si>
  <si>
    <t xml:space="preserve">유튜브 프리미엄</t>
  </si>
  <si>
    <t xml:space="preserve">2026-06-21T16:05:00</t>
  </si>
  <si>
    <t xml:space="preserve">코레일</t>
  </si>
  <si>
    <t xml:space="preserve">2026-06-21T22:00:00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</si>
  <si>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번가</t>
    </r>
  </si>
  <si>
    <t xml:space="preserve">2026-06-22T09:05:00</t>
  </si>
  <si>
    <t xml:space="preserve">요기요</t>
  </si>
  <si>
    <t xml:space="preserve">2026-06-22T14:25:00</t>
  </si>
  <si>
    <t xml:space="preserve">2026-06-22T15:00:00</t>
  </si>
  <si>
    <t xml:space="preserve">삼성페이</t>
  </si>
  <si>
    <t xml:space="preserve">2026-06-23T19:40:00</t>
  </si>
  <si>
    <t xml:space="preserve">2026-06-24T15:05:00</t>
  </si>
  <si>
    <t xml:space="preserve">2026-06-24T19:15:00</t>
  </si>
  <si>
    <t xml:space="preserve">2026-06-25T11:50:00</t>
  </si>
  <si>
    <t xml:space="preserve">세탁특공대</t>
  </si>
  <si>
    <t xml:space="preserve">2026-06-26T11:20:00</t>
  </si>
  <si>
    <t xml:space="preserve">2026-06-26T20:10:00</t>
  </si>
  <si>
    <t xml:space="preserve">롯데시네마</t>
  </si>
  <si>
    <t xml:space="preserve">2026-06-27T17:30:00</t>
  </si>
  <si>
    <t xml:space="preserve">2026-06-27T23:45:00</t>
  </si>
  <si>
    <r>
      <rPr>
        <sz val="10"/>
        <rFont val="맑은 고딕"/>
        <family val="0"/>
        <charset val="1"/>
      </rPr>
      <t xml:space="preserve">G</t>
    </r>
    <r>
      <rPr>
        <sz val="10"/>
        <rFont val="Noto Sans CJK SC"/>
        <family val="2"/>
      </rPr>
      <t xml:space="preserve">마켓</t>
    </r>
  </si>
  <si>
    <t xml:space="preserve">2026-06-28T18:05:00</t>
  </si>
  <si>
    <t xml:space="preserve">캐시백 대상 일반가맹점</t>
  </si>
  <si>
    <t xml:space="preserve">2026-06-28T19:10:00</t>
  </si>
  <si>
    <t xml:space="preserve">2026-06-29T09:30:00</t>
  </si>
  <si>
    <t xml:space="preserve">롯데마트</t>
  </si>
  <si>
    <t xml:space="preserve">2026-06-29T16:05:00</t>
  </si>
  <si>
    <t xml:space="preserve">2026-06-30T18:35:00</t>
  </si>
  <si>
    <t xml:space="preserve">세븐일레븐</t>
  </si>
  <si>
    <t xml:space="preserve">2026-07</t>
  </si>
  <si>
    <t xml:space="preserve">2026-07-04T16:15:00</t>
  </si>
  <si>
    <t xml:space="preserve">2026-07-04T22:50:00</t>
  </si>
  <si>
    <t xml:space="preserve">2026-07-07T09:25:00</t>
  </si>
  <si>
    <t xml:space="preserve">2026-07-08T08:50:00</t>
  </si>
  <si>
    <t xml:space="preserve">2026-07-09T08:45:00</t>
  </si>
  <si>
    <t xml:space="preserve">2026-07-09T19:30:00</t>
  </si>
  <si>
    <t xml:space="preserve">2026-07-11T09:20:00</t>
  </si>
  <si>
    <t xml:space="preserve">2026-07-11T09:40:00</t>
  </si>
  <si>
    <t xml:space="preserve">2026-07-11T12:20:00</t>
  </si>
  <si>
    <t xml:space="preserve">2026-07-11T20:30:00</t>
  </si>
  <si>
    <t xml:space="preserve">2026-07-11T22:40:00</t>
  </si>
  <si>
    <t xml:space="preserve">CJ ONE</t>
  </si>
  <si>
    <t xml:space="preserve">2026-07-12T10:05:00</t>
  </si>
  <si>
    <t xml:space="preserve">2026-07-12T22:20:00</t>
  </si>
  <si>
    <t xml:space="preserve">2026-07-13T11:50:00</t>
  </si>
  <si>
    <t xml:space="preserve">2026-07-14T11:45:00</t>
  </si>
  <si>
    <t xml:space="preserve">2026-07-14T19:10:00</t>
  </si>
  <si>
    <t xml:space="preserve">2026-07-15T07:45:00</t>
  </si>
  <si>
    <t xml:space="preserve">2026-07-15T09:05:00</t>
  </si>
  <si>
    <t xml:space="preserve">2026-07-15T12:05:00</t>
  </si>
  <si>
    <t xml:space="preserve">2026-07-15T15:10:00</t>
  </si>
  <si>
    <t xml:space="preserve">2026-07-15T17:30:00</t>
  </si>
  <si>
    <t xml:space="preserve">2026-07-16T08:05:00</t>
  </si>
  <si>
    <t xml:space="preserve">2026-07-16T09:05:00</t>
  </si>
  <si>
    <t xml:space="preserve">2026-07-16T21:55:00</t>
  </si>
  <si>
    <t xml:space="preserve">2026-07-18T09:30:00</t>
  </si>
  <si>
    <t xml:space="preserve">온누리약국</t>
  </si>
  <si>
    <t xml:space="preserve">2026-07-18T11:10:00</t>
  </si>
  <si>
    <t xml:space="preserve">2026-07-18T22:25:00</t>
  </si>
  <si>
    <t xml:space="preserve">2026-07-19T16:20:00</t>
  </si>
  <si>
    <t xml:space="preserve">2026-07-20T09:40:00</t>
  </si>
  <si>
    <t xml:space="preserve">2026-07-20T18:30:00</t>
  </si>
  <si>
    <t xml:space="preserve">롯데월드</t>
  </si>
  <si>
    <t xml:space="preserve">2026-07-21T10:55:00</t>
  </si>
  <si>
    <t xml:space="preserve">2026-07-22T16:40:00</t>
  </si>
  <si>
    <t xml:space="preserve">2026-07-22T21:15:00</t>
  </si>
  <si>
    <t xml:space="preserve">2026-07-23T09:40:00</t>
  </si>
  <si>
    <t xml:space="preserve">밸런스 카드</t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</si>
  <si>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에너지 주유소</t>
    </r>
  </si>
  <si>
    <r>
      <rPr>
        <sz val="10"/>
        <rFont val="Noto Sans CJK SC"/>
        <family val="2"/>
      </rPr>
      <t xml:space="preserve">신한카드 </t>
    </r>
    <r>
      <rPr>
        <sz val="10"/>
        <rFont val="맑은 고딕"/>
        <family val="0"/>
        <charset val="1"/>
      </rPr>
      <t xml:space="preserve">Deep Oil</t>
    </r>
  </si>
  <si>
    <t xml:space="preserve">인프런 개발 강의</t>
  </si>
  <si>
    <r>
      <rPr>
        <sz val="10"/>
        <rFont val="맑은 고딕"/>
        <family val="0"/>
        <charset val="1"/>
      </rPr>
      <t xml:space="preserve">GS</t>
    </r>
    <r>
      <rPr>
        <sz val="10"/>
        <rFont val="Noto Sans CJK SC"/>
        <family val="2"/>
      </rPr>
      <t xml:space="preserve">칼텍스</t>
    </r>
  </si>
  <si>
    <t xml:space="preserve">2026-06-01T07:10:00</t>
  </si>
  <si>
    <t xml:space="preserve">2026-06-02T08:35:00</t>
  </si>
  <si>
    <t xml:space="preserve">2026-06-02T21:15:00</t>
  </si>
  <si>
    <t xml:space="preserve">2026-06-03T20:30:00</t>
  </si>
  <si>
    <t xml:space="preserve">2026-06-03T20:35:00</t>
  </si>
  <si>
    <t xml:space="preserve">2026-06-04T13:15:00</t>
  </si>
  <si>
    <t xml:space="preserve">2026-06-04T21:35:00</t>
  </si>
  <si>
    <t xml:space="preserve">2026-06-05T13:35:00</t>
  </si>
  <si>
    <t xml:space="preserve">2026-06-05T20:35:00</t>
  </si>
  <si>
    <t xml:space="preserve">2026-06-05T22:40:00</t>
  </si>
  <si>
    <t xml:space="preserve">2026-06-06T08:20:00</t>
  </si>
  <si>
    <t xml:space="preserve">2026-06-06T19:00:00</t>
  </si>
  <si>
    <t xml:space="preserve">2026-06-07T20:20:00</t>
  </si>
  <si>
    <t xml:space="preserve">2026-06-08T12:45:00</t>
  </si>
  <si>
    <t xml:space="preserve">2026-06-09T09:40:00</t>
  </si>
  <si>
    <t xml:space="preserve">2026-06-09T12:15:00</t>
  </si>
  <si>
    <t xml:space="preserve">2026-06-10T00:05:00</t>
  </si>
  <si>
    <t xml:space="preserve">2026-06-10T07:30:00</t>
  </si>
  <si>
    <t xml:space="preserve">2026-06-11T12:55:00</t>
  </si>
  <si>
    <t xml:space="preserve">2026-06-11T19:30:00</t>
  </si>
  <si>
    <t xml:space="preserve">2026-06-12T00:05:00</t>
  </si>
  <si>
    <t xml:space="preserve">2026-06-12T22:45:00</t>
  </si>
  <si>
    <t xml:space="preserve">2026-06-13T20:00:00</t>
  </si>
  <si>
    <t xml:space="preserve">S-OIL</t>
  </si>
  <si>
    <t xml:space="preserve">2026-06-13T23:10:00</t>
  </si>
  <si>
    <t xml:space="preserve">스피드메이트</t>
  </si>
  <si>
    <t xml:space="preserve">2026-06-14T19:15:00</t>
  </si>
  <si>
    <t xml:space="preserve">2026-06-15T16:30:00</t>
  </si>
  <si>
    <t xml:space="preserve">2026-06-16T08:40:00</t>
  </si>
  <si>
    <t xml:space="preserve">2026-06-16T13:25:00</t>
  </si>
  <si>
    <t xml:space="preserve">2026-06-16T21:40:00</t>
  </si>
  <si>
    <t xml:space="preserve">현대오일뱅크</t>
  </si>
  <si>
    <t xml:space="preserve">2026-06-17T12:05:00</t>
  </si>
  <si>
    <t xml:space="preserve">2026-06-17T21:00:00</t>
  </si>
  <si>
    <t xml:space="preserve">2026-06-18T12:40:00</t>
  </si>
  <si>
    <t xml:space="preserve">2026-06-18T19:20:00</t>
  </si>
  <si>
    <t xml:space="preserve">2026-06-19T13:20:00</t>
  </si>
  <si>
    <t xml:space="preserve">2026-06-19T13:55:00</t>
  </si>
  <si>
    <t xml:space="preserve">2026-06-19T23:35:00</t>
  </si>
  <si>
    <t xml:space="preserve">2026-06-20T08:35:00</t>
  </si>
  <si>
    <t xml:space="preserve">2026-06-21T19:05:00</t>
  </si>
  <si>
    <t xml:space="preserve">2026-06-21T20:05:00</t>
  </si>
  <si>
    <t xml:space="preserve">2026-06-22T12:15:00</t>
  </si>
  <si>
    <t xml:space="preserve">2026-06-23T09:50:00</t>
  </si>
  <si>
    <t xml:space="preserve">2026-06-23T12:05:00</t>
  </si>
  <si>
    <t xml:space="preserve">2026-06-24T08:55:00</t>
  </si>
  <si>
    <t xml:space="preserve">2026-06-24T13:00:00</t>
  </si>
  <si>
    <t xml:space="preserve">2026-06-25T00:10:00</t>
  </si>
  <si>
    <t xml:space="preserve">2026-06-25T20:15:00</t>
  </si>
  <si>
    <t xml:space="preserve">2026-06-26T13:15:00</t>
  </si>
  <si>
    <t xml:space="preserve">2026-06-26T22:05:00</t>
  </si>
  <si>
    <t xml:space="preserve">2026-06-27T08:45:00</t>
  </si>
  <si>
    <t xml:space="preserve">2026-06-27T14:00:00</t>
  </si>
  <si>
    <t xml:space="preserve">2026-06-28T19:40:00</t>
  </si>
  <si>
    <t xml:space="preserve">오토오아시스</t>
  </si>
  <si>
    <t xml:space="preserve">2026-06-28T21:10:00</t>
  </si>
  <si>
    <t xml:space="preserve">2026-06-30T08:10:00</t>
  </si>
  <si>
    <t xml:space="preserve">2026-06-30T12:00:00</t>
  </si>
  <si>
    <t xml:space="preserve">2026-07-02T17:55:00</t>
  </si>
  <si>
    <t xml:space="preserve">2026-07-03T08:50:00</t>
  </si>
  <si>
    <t xml:space="preserve">2026-07-03T19:35:00</t>
  </si>
  <si>
    <t xml:space="preserve">2026-07-04T07:50:00</t>
  </si>
  <si>
    <t xml:space="preserve">2026-07-04T15:40:00</t>
  </si>
  <si>
    <t xml:space="preserve">2026-07-04T21:30:00</t>
  </si>
  <si>
    <t xml:space="preserve">2026-07-05T19:00:00</t>
  </si>
  <si>
    <t xml:space="preserve">2026-07-06T14:25:00</t>
  </si>
  <si>
    <t xml:space="preserve">2026-07-07T09:05:00</t>
  </si>
  <si>
    <t xml:space="preserve">2026-07-07T14:10:00</t>
  </si>
  <si>
    <t xml:space="preserve">2026-07-09T20:35:00</t>
  </si>
  <si>
    <t xml:space="preserve">2026-07-10T20:25:00</t>
  </si>
  <si>
    <t xml:space="preserve">2026-07-11T18:15:00</t>
  </si>
  <si>
    <t xml:space="preserve">2026-07-12T19:45:00</t>
  </si>
  <si>
    <t xml:space="preserve">2026-07-12T20:15:00</t>
  </si>
  <si>
    <t xml:space="preserve">2026-07-13T14:30:00</t>
  </si>
  <si>
    <t xml:space="preserve">2026-07-14T09:45:00</t>
  </si>
  <si>
    <t xml:space="preserve">2026-07-15T20:30:00</t>
  </si>
  <si>
    <t xml:space="preserve">2026-07-15T21:30:00</t>
  </si>
  <si>
    <t xml:space="preserve">2026-07-16T22:20:00</t>
  </si>
  <si>
    <t xml:space="preserve">2026-07-17T10:10:00</t>
  </si>
  <si>
    <t xml:space="preserve">2026-07-17T18:25:00</t>
  </si>
  <si>
    <t xml:space="preserve">2026-07-18T07:40:00</t>
  </si>
  <si>
    <t xml:space="preserve">2026-07-19T07:50:00</t>
  </si>
  <si>
    <t xml:space="preserve">2026-07-19T16:25:00</t>
  </si>
  <si>
    <t xml:space="preserve">2026-07-20T07:50:00</t>
  </si>
  <si>
    <t xml:space="preserve">2026-07-20T08:05:00</t>
  </si>
  <si>
    <t xml:space="preserve">2026-07-20T13:35:00</t>
  </si>
  <si>
    <t xml:space="preserve">2026-07-20T16:25:00</t>
  </si>
  <si>
    <t xml:space="preserve">2026-07-22T07:00:00</t>
  </si>
  <si>
    <t xml:space="preserve">2026-07-22T14:10:00</t>
  </si>
  <si>
    <t xml:space="preserve">2026-07-22T22:50:00</t>
  </si>
  <si>
    <t xml:space="preserve">2026-07-23T10:40:00</t>
  </si>
  <si>
    <t xml:space="preserve">2026-07-23T16:15:00</t>
  </si>
  <si>
    <t xml:space="preserve">2026-07-23T17:25:00</t>
  </si>
  <si>
    <t xml:space="preserve">2026-07-23T21:45:00</t>
  </si>
  <si>
    <r>
      <rPr>
        <sz val="10"/>
        <rFont val="Noto Sans CJK SC"/>
        <family val="2"/>
      </rPr>
      <t xml:space="preserve">신한카드 </t>
    </r>
    <r>
      <rPr>
        <sz val="10"/>
        <rFont val="맑은 고딕"/>
        <family val="0"/>
        <charset val="1"/>
      </rPr>
      <t xml:space="preserve">Mr.Life</t>
    </r>
  </si>
  <si>
    <r>
      <rPr>
        <sz val="10"/>
        <rFont val="Noto Sans CJK SC"/>
        <family val="2"/>
      </rPr>
      <t xml:space="preserve">국민행복 삼성카드 </t>
    </r>
    <r>
      <rPr>
        <sz val="10"/>
        <rFont val="맑은 고딕"/>
        <family val="0"/>
        <charset val="1"/>
      </rPr>
      <t xml:space="preserve">V2</t>
    </r>
  </si>
  <si>
    <t xml:space="preserve">소아청소년과</t>
  </si>
  <si>
    <t xml:space="preserve">서울도시가스</t>
  </si>
  <si>
    <t xml:space="preserve">아이사랑몰</t>
  </si>
  <si>
    <t xml:space="preserve">베이비플러스</t>
  </si>
  <si>
    <t xml:space="preserve">코스트코</t>
  </si>
  <si>
    <t xml:space="preserve">2026-06-01T17:30:00</t>
  </si>
  <si>
    <t xml:space="preserve">2026-06-02T21:45:00</t>
  </si>
  <si>
    <t xml:space="preserve">2026-06-04T22:05:00</t>
  </si>
  <si>
    <t xml:space="preserve">2026-06-05T09:00:00</t>
  </si>
  <si>
    <t xml:space="preserve">2026-06-05T09:05:00</t>
  </si>
  <si>
    <t xml:space="preserve">2026-06-05T09:10:00</t>
  </si>
  <si>
    <t xml:space="preserve">2026-06-07T12:30:00</t>
  </si>
  <si>
    <t xml:space="preserve">2026-06-08T15:20:00</t>
  </si>
  <si>
    <t xml:space="preserve">2026-06-08T18:50:00</t>
  </si>
  <si>
    <t xml:space="preserve">2026-06-09T10:05:00</t>
  </si>
  <si>
    <t xml:space="preserve">2026-06-11T22:40:00</t>
  </si>
  <si>
    <t xml:space="preserve">2026-06-12T21:30:00</t>
  </si>
  <si>
    <t xml:space="preserve">2026-06-13T14:00:00</t>
  </si>
  <si>
    <t xml:space="preserve">2026-06-13T15:30:00</t>
  </si>
  <si>
    <t xml:space="preserve">2026-06-14T11:00:00</t>
  </si>
  <si>
    <t xml:space="preserve">2026-06-15T19:30:00</t>
  </si>
  <si>
    <t xml:space="preserve">2026-06-16T21:45:00</t>
  </si>
  <si>
    <t xml:space="preserve">2026-06-18T22:25:00</t>
  </si>
  <si>
    <t xml:space="preserve">2026-06-19T21:00:00</t>
  </si>
  <si>
    <t xml:space="preserve">2026-06-20T19:10:00</t>
  </si>
  <si>
    <t xml:space="preserve">2026-06-21T13:30:00</t>
  </si>
  <si>
    <t xml:space="preserve">2026-06-22T19:35:00</t>
  </si>
  <si>
    <t xml:space="preserve">2026-06-23T16:20:00</t>
  </si>
  <si>
    <t xml:space="preserve">2026-06-25T09:00:00</t>
  </si>
  <si>
    <t xml:space="preserve">대한항공 가족 항공권</t>
  </si>
  <si>
    <t xml:space="preserve">자동이체</t>
  </si>
  <si>
    <t xml:space="preserve">2026-06-25T22:25:00</t>
  </si>
  <si>
    <t xml:space="preserve">2026-06-26T23:00:00</t>
  </si>
  <si>
    <t xml:space="preserve">2026-06-27T12:00:00</t>
  </si>
  <si>
    <t xml:space="preserve">2026-06-28T09:00:00</t>
  </si>
  <si>
    <t xml:space="preserve">소아 발달센터</t>
  </si>
  <si>
    <t xml:space="preserve">2026-06-29T10:30:00</t>
  </si>
  <si>
    <t xml:space="preserve">2026-06-29T17:00:00</t>
  </si>
  <si>
    <t xml:space="preserve">2026-07-01T07:30:00</t>
  </si>
  <si>
    <t xml:space="preserve">2026-07-02T18:15:00</t>
  </si>
  <si>
    <t xml:space="preserve">2026-07-02T22:00:00</t>
  </si>
  <si>
    <t xml:space="preserve">2026-07-04T16:10:00</t>
  </si>
  <si>
    <t xml:space="preserve">2026-07-04T22:20:00</t>
  </si>
  <si>
    <t xml:space="preserve">2026-07-05T12:15:00</t>
  </si>
  <si>
    <t xml:space="preserve">2026-07-08T12:05:00</t>
  </si>
  <si>
    <t xml:space="preserve">2026-07-08T17:40:00</t>
  </si>
  <si>
    <t xml:space="preserve">2026-07-09T11:40:00</t>
  </si>
  <si>
    <t xml:space="preserve">2026-07-09T20:55:00</t>
  </si>
  <si>
    <t xml:space="preserve">2026-07-10T13:00:00</t>
  </si>
  <si>
    <t xml:space="preserve">2026-07-11T21:15:00</t>
  </si>
  <si>
    <t xml:space="preserve">2026-07-12T07:15:00</t>
  </si>
  <si>
    <t xml:space="preserve">2026-07-12T22:10:00</t>
  </si>
  <si>
    <t xml:space="preserve">2026-07-13T12:40:00</t>
  </si>
  <si>
    <t xml:space="preserve">2026-07-13T16:15:00</t>
  </si>
  <si>
    <t xml:space="preserve">2026-07-13T19:10:00</t>
  </si>
  <si>
    <t xml:space="preserve">2026-07-13T22:05:00</t>
  </si>
  <si>
    <t xml:space="preserve">2026-07-14T10:40:00</t>
  </si>
  <si>
    <t xml:space="preserve">2026-07-14T17:35:00</t>
  </si>
  <si>
    <t xml:space="preserve">2026-07-14T17:45:00</t>
  </si>
  <si>
    <t xml:space="preserve">2026-07-15T09:15:00</t>
  </si>
  <si>
    <t xml:space="preserve">2026-07-15T12:50:00</t>
  </si>
  <si>
    <t xml:space="preserve">2026-07-16T10:10:00</t>
  </si>
  <si>
    <t xml:space="preserve">2026-07-16T12:25:00</t>
  </si>
  <si>
    <t xml:space="preserve">2026-07-17T09:35:00</t>
  </si>
  <si>
    <t xml:space="preserve">2026-07-18T08:10:00</t>
  </si>
  <si>
    <t xml:space="preserve">2026-07-18T13:45:00</t>
  </si>
  <si>
    <t xml:space="preserve">2026-07-20T12:35:00</t>
  </si>
  <si>
    <t xml:space="preserve">2026-07-20T15:35:00</t>
  </si>
  <si>
    <t xml:space="preserve">2026-07-20T17:15:00</t>
  </si>
  <si>
    <t xml:space="preserve">2026-07-20T18:10:00</t>
  </si>
  <si>
    <t xml:space="preserve">2026-07-20T21:40:00</t>
  </si>
  <si>
    <t xml:space="preserve">2026-07-22T13:25:00</t>
  </si>
  <si>
    <t xml:space="preserve">2026-07-22T15:20:00</t>
  </si>
  <si>
    <t xml:space="preserve">2026-07-22T17:55:00</t>
  </si>
  <si>
    <t xml:space="preserve">2026-07-23T14:00:00</t>
  </si>
  <si>
    <t xml:space="preserve">2026-07-23T19:15:00</t>
  </si>
  <si>
    <r>
      <rPr>
        <sz val="10"/>
        <rFont val="맑은 고딕"/>
        <family val="0"/>
        <charset val="1"/>
      </rPr>
      <t xml:space="preserve">KB YOU Prime </t>
    </r>
    <r>
      <rPr>
        <sz val="10"/>
        <rFont val="Noto Sans CJK SC"/>
        <family val="2"/>
      </rPr>
      <t xml:space="preserve">카드</t>
    </r>
  </si>
  <si>
    <t xml:space="preserve">I’m GREAT</t>
  </si>
  <si>
    <r>
      <rPr>
        <sz val="10"/>
        <rFont val="맑은 고딕"/>
        <family val="0"/>
        <charset val="1"/>
      </rPr>
      <t xml:space="preserve">LOCA 365 </t>
    </r>
    <r>
      <rPr>
        <sz val="10"/>
        <rFont val="Noto Sans CJK SC"/>
        <family val="2"/>
      </rPr>
      <t xml:space="preserve">카드</t>
    </r>
  </si>
  <si>
    <t xml:space="preserve">중등 영어학원</t>
  </si>
  <si>
    <r>
      <rPr>
        <sz val="10"/>
        <rFont val="Noto Sans CJK SC"/>
        <family val="2"/>
      </rPr>
      <t xml:space="preserve">삼성 </t>
    </r>
    <r>
      <rPr>
        <sz val="10"/>
        <rFont val="맑은 고딕"/>
        <family val="0"/>
        <charset val="1"/>
      </rPr>
      <t xml:space="preserve">iD EDU </t>
    </r>
    <r>
      <rPr>
        <sz val="10"/>
        <rFont val="Noto Sans CJK SC"/>
        <family val="2"/>
      </rPr>
      <t xml:space="preserve">카드</t>
    </r>
  </si>
  <si>
    <r>
      <rPr>
        <sz val="10"/>
        <rFont val="맑은 고딕"/>
        <family val="0"/>
        <charset val="1"/>
      </rPr>
      <t xml:space="preserve">DA@</t>
    </r>
    <r>
      <rPr>
        <sz val="10"/>
        <rFont val="Noto Sans CJK SC"/>
        <family val="2"/>
      </rPr>
      <t xml:space="preserve">카드의정석</t>
    </r>
  </si>
  <si>
    <t xml:space="preserve">가정의학과</t>
  </si>
  <si>
    <t xml:space="preserve">고등 수학학원</t>
  </si>
  <si>
    <t xml:space="preserve">교재비</t>
  </si>
  <si>
    <t xml:space="preserve">생활용품점</t>
  </si>
  <si>
    <t xml:space="preserve">아파트아이 관리비</t>
  </si>
  <si>
    <t xml:space="preserve">2026-06-01T22:00:00</t>
  </si>
  <si>
    <t xml:space="preserve">2026-06-02T12:35:00</t>
  </si>
  <si>
    <t xml:space="preserve">2026-06-03T10:00:00</t>
  </si>
  <si>
    <t xml:space="preserve">2026-06-03T10:05:00</t>
  </si>
  <si>
    <t xml:space="preserve">2026-06-03T10:10:00</t>
  </si>
  <si>
    <t xml:space="preserve">2026-06-04T10:30:00</t>
  </si>
  <si>
    <t xml:space="preserve">2026-06-05T12:25:00</t>
  </si>
  <si>
    <t xml:space="preserve">2026-06-05T22:10:00</t>
  </si>
  <si>
    <t xml:space="preserve">2026-06-06T14:45:00</t>
  </si>
  <si>
    <t xml:space="preserve">2026-06-06T18:30:00</t>
  </si>
  <si>
    <t xml:space="preserve">2026-06-07T22:10:00</t>
  </si>
  <si>
    <t xml:space="preserve">2026-06-08T22:10:00</t>
  </si>
  <si>
    <t xml:space="preserve">2026-06-09T10:50:00</t>
  </si>
  <si>
    <t xml:space="preserve">2026-06-10T14:20:00</t>
  </si>
  <si>
    <t xml:space="preserve">2026-06-11T10:30:00</t>
  </si>
  <si>
    <t xml:space="preserve">2026-06-12T11:50:00</t>
  </si>
  <si>
    <t xml:space="preserve">2026-06-12T23:55:00</t>
  </si>
  <si>
    <t xml:space="preserve">2026-06-13T11:10:00</t>
  </si>
  <si>
    <t xml:space="preserve">2026-06-14T12:10:00</t>
  </si>
  <si>
    <t xml:space="preserve">2026-06-15T09:00:00</t>
  </si>
  <si>
    <t xml:space="preserve">2026-06-15T09:05:00</t>
  </si>
  <si>
    <t xml:space="preserve">2026-06-15T23:00:00</t>
  </si>
  <si>
    <t xml:space="preserve">2026-06-16T11:55:00</t>
  </si>
  <si>
    <t xml:space="preserve">2026-06-17T15:40:00</t>
  </si>
  <si>
    <t xml:space="preserve">2026-06-17T16:00:00</t>
  </si>
  <si>
    <t xml:space="preserve">2026-06-19T12:40:00</t>
  </si>
  <si>
    <t xml:space="preserve">2026-06-19T21:55:00</t>
  </si>
  <si>
    <t xml:space="preserve">2026-06-20T14:20:00</t>
  </si>
  <si>
    <t xml:space="preserve">2026-06-20T18:00:00</t>
  </si>
  <si>
    <t xml:space="preserve">2026-06-21T22:30:00</t>
  </si>
  <si>
    <t xml:space="preserve">2026-06-22T23:00:00</t>
  </si>
  <si>
    <t xml:space="preserve">2026-06-23T15:15:00</t>
  </si>
  <si>
    <t xml:space="preserve">2026-06-24T09:50:00</t>
  </si>
  <si>
    <t xml:space="preserve">2026-06-26T11:10:00</t>
  </si>
  <si>
    <t xml:space="preserve">2026-06-26T23:40:00</t>
  </si>
  <si>
    <t xml:space="preserve">2026-06-27T14:40:00</t>
  </si>
  <si>
    <t xml:space="preserve">2026-06-28T12:30:00</t>
  </si>
  <si>
    <t xml:space="preserve">2026-06-29T22:10:00</t>
  </si>
  <si>
    <t xml:space="preserve">2026-06-30T10:05:00</t>
  </si>
  <si>
    <t xml:space="preserve">2026-07-01T22:00:00</t>
  </si>
  <si>
    <t xml:space="preserve">2026-07-02T08:10:00</t>
  </si>
  <si>
    <t xml:space="preserve">2026-07-02T14:50:00</t>
  </si>
  <si>
    <t xml:space="preserve">2026-07-02T18:35:00</t>
  </si>
  <si>
    <t xml:space="preserve">2026-07-03T10:50:00</t>
  </si>
  <si>
    <t xml:space="preserve">2026-07-03T13:05:00</t>
  </si>
  <si>
    <t xml:space="preserve">2026-07-05T11:10:00</t>
  </si>
  <si>
    <t xml:space="preserve">2026-07-05T12:25:00</t>
  </si>
  <si>
    <t xml:space="preserve">2026-07-05T17:10:00</t>
  </si>
  <si>
    <t xml:space="preserve">2026-07-06T12:05:00</t>
  </si>
  <si>
    <t xml:space="preserve">2026-07-07T07:00:00</t>
  </si>
  <si>
    <t xml:space="preserve">2026-07-08T07:30:00</t>
  </si>
  <si>
    <t xml:space="preserve">2026-07-08T18:15:00</t>
  </si>
  <si>
    <t xml:space="preserve">2026-07-08T20:50:00</t>
  </si>
  <si>
    <t xml:space="preserve">2026-07-10T19:55:00</t>
  </si>
  <si>
    <t xml:space="preserve">2026-07-12T11:10:00</t>
  </si>
  <si>
    <t xml:space="preserve">2026-07-12T16:30:00</t>
  </si>
  <si>
    <t xml:space="preserve">2026-07-12T18:50:00</t>
  </si>
  <si>
    <t xml:space="preserve">2026-07-14T18:15:00</t>
  </si>
  <si>
    <t xml:space="preserve">2026-07-14T19:25:00</t>
  </si>
  <si>
    <t xml:space="preserve">2026-07-14T20:00:00</t>
  </si>
  <si>
    <t xml:space="preserve">2026-07-15T17:50:00</t>
  </si>
  <si>
    <t xml:space="preserve">2026-07-15T20:55:00</t>
  </si>
  <si>
    <t xml:space="preserve">2026-07-15T21:25:00</t>
  </si>
  <si>
    <t xml:space="preserve">2026-07-16T09:40:00</t>
  </si>
  <si>
    <t xml:space="preserve">2026-07-16T15:00:00</t>
  </si>
  <si>
    <t xml:space="preserve">2026-07-16T22:25:00</t>
  </si>
  <si>
    <t xml:space="preserve">2026-07-17T11:20:00</t>
  </si>
  <si>
    <t xml:space="preserve">2026-07-17T16:10:00</t>
  </si>
  <si>
    <t xml:space="preserve">2026-07-18T10:40:00</t>
  </si>
  <si>
    <t xml:space="preserve">2026-07-18T16:25:00</t>
  </si>
  <si>
    <t xml:space="preserve">2026-07-18T21:15:00</t>
  </si>
  <si>
    <t xml:space="preserve">2026-07-20T08:20:00</t>
  </si>
  <si>
    <t xml:space="preserve">2026-07-20T09:10:00</t>
  </si>
  <si>
    <t xml:space="preserve">2026-07-20T22:15:00</t>
  </si>
  <si>
    <t xml:space="preserve">2026-07-22T09:00:00</t>
  </si>
  <si>
    <t xml:space="preserve">2026-07-22T10:40:00</t>
  </si>
  <si>
    <t xml:space="preserve">2026-07-22T15:30:00</t>
  </si>
  <si>
    <t xml:space="preserve">2026-07-23T21:20:00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</si>
</sst>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;;\-"/>
    <numFmt numFmtId="168" formatCode="0.0%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E8EDF5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5FA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9"/>
      <rgbColor rgb="FF808080"/>
      <rgbColor rgb="FF9999FF"/>
      <rgbColor rgb="FF993366"/>
      <rgbColor rgb="FFF7F9FC"/>
      <rgbColor rgb="FFE8EDF5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8" hidden="false" customHeight="true" outlineLevel="0" collapsed="false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customFormat="false" ht="18" hidden="false" customHeight="true" outlineLevel="0" collapsed="false">
      <c r="A5" s="5" t="s">
        <v>11</v>
      </c>
      <c r="B5" s="6" t="s">
        <v>2</v>
      </c>
      <c r="C5" s="6" t="s">
        <v>3</v>
      </c>
      <c r="D5" s="6" t="s">
        <v>4</v>
      </c>
      <c r="E5" s="6" t="s">
        <v>5</v>
      </c>
    </row>
    <row r="6" customFormat="false" ht="18" hidden="false" customHeight="true" outlineLevel="0" collapsed="false">
      <c r="A6" s="5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18" hidden="false" customHeight="true" outlineLevel="0" collapsed="false">
      <c r="A7" s="5" t="s">
        <v>17</v>
      </c>
      <c r="B7" s="6" t="s">
        <v>18</v>
      </c>
      <c r="C7" s="4" t="s">
        <v>19</v>
      </c>
      <c r="D7" s="6" t="s">
        <v>20</v>
      </c>
      <c r="E7" s="6" t="s">
        <v>21</v>
      </c>
    </row>
    <row r="8" customFormat="false" ht="18" hidden="false" customHeight="true" outlineLevel="0" collapsed="false">
      <c r="A8" s="5" t="s">
        <v>22</v>
      </c>
      <c r="B8" s="6" t="s">
        <v>23</v>
      </c>
      <c r="C8" s="6" t="s">
        <v>24</v>
      </c>
      <c r="D8" s="6" t="s">
        <v>25</v>
      </c>
      <c r="E8" s="6" t="s">
        <v>26</v>
      </c>
    </row>
    <row r="9" customFormat="false" ht="33.75" hidden="false" customHeight="true" outlineLevel="0" collapsed="false">
      <c r="A9" s="5" t="s">
        <v>27</v>
      </c>
      <c r="B9" s="6" t="s">
        <v>28</v>
      </c>
      <c r="C9" s="6" t="s">
        <v>28</v>
      </c>
      <c r="D9" s="4" t="s">
        <v>29</v>
      </c>
      <c r="E9" s="4" t="s">
        <v>30</v>
      </c>
    </row>
    <row r="10" customFormat="false" ht="30" hidden="false" customHeight="true" outlineLevel="0" collapsed="false">
      <c r="A10" s="5" t="s">
        <v>31</v>
      </c>
      <c r="B10" s="6" t="s">
        <v>32</v>
      </c>
      <c r="C10" s="6" t="s">
        <v>33</v>
      </c>
      <c r="D10" s="4" t="s">
        <v>34</v>
      </c>
      <c r="E10" s="6" t="s">
        <v>35</v>
      </c>
    </row>
    <row r="11" customFormat="false" ht="18" hidden="false" customHeight="true" outlineLevel="0" collapsed="false">
      <c r="A11" s="5" t="s">
        <v>36</v>
      </c>
      <c r="B11" s="7" t="n">
        <v>1000000</v>
      </c>
      <c r="C11" s="7" t="n">
        <v>1200000</v>
      </c>
      <c r="D11" s="7" t="n">
        <v>3000000</v>
      </c>
      <c r="E11" s="7" t="n">
        <v>4500000</v>
      </c>
    </row>
    <row r="12" customFormat="false" ht="18" hidden="false" customHeight="true" outlineLevel="0" collapsed="false">
      <c r="A12" s="5" t="s">
        <v>37</v>
      </c>
      <c r="B12" s="4" t="s">
        <v>38</v>
      </c>
      <c r="C12" s="4" t="s">
        <v>38</v>
      </c>
      <c r="D12" s="4" t="s">
        <v>38</v>
      </c>
      <c r="E12" s="4" t="s">
        <v>38</v>
      </c>
    </row>
    <row r="13" customFormat="false" ht="18" hidden="false" customHeight="true" outlineLevel="0" collapsed="false">
      <c r="A13" s="5" t="s">
        <v>39</v>
      </c>
      <c r="B13" s="4" t="s">
        <v>40</v>
      </c>
      <c r="C13" s="4" t="s">
        <v>41</v>
      </c>
      <c r="D13" s="4" t="s">
        <v>40</v>
      </c>
      <c r="E13" s="4" t="s">
        <v>42</v>
      </c>
    </row>
    <row r="14" customFormat="false" ht="18" hidden="false" customHeight="true" outlineLevel="0" collapsed="false">
      <c r="A14" s="5" t="s">
        <v>43</v>
      </c>
      <c r="B14" s="6" t="s">
        <v>44</v>
      </c>
      <c r="C14" s="6" t="s">
        <v>45</v>
      </c>
      <c r="D14" s="6" t="s">
        <v>45</v>
      </c>
      <c r="E14" s="6" t="s">
        <v>45</v>
      </c>
    </row>
    <row r="15" customFormat="false" ht="18" hidden="false" customHeight="true" outlineLevel="0" collapsed="false">
      <c r="A15" s="5" t="s">
        <v>46</v>
      </c>
      <c r="B15" s="6" t="s">
        <v>47</v>
      </c>
      <c r="C15" s="6" t="s">
        <v>48</v>
      </c>
      <c r="D15" s="6" t="s">
        <v>48</v>
      </c>
      <c r="E15" s="6" t="s">
        <v>49</v>
      </c>
    </row>
    <row r="16" customFormat="false" ht="33.75" hidden="false" customHeight="true" outlineLevel="0" collapsed="false">
      <c r="A16" s="5" t="s">
        <v>50</v>
      </c>
      <c r="B16" s="6" t="s">
        <v>51</v>
      </c>
      <c r="C16" s="4" t="s">
        <v>52</v>
      </c>
      <c r="D16" s="6" t="s">
        <v>53</v>
      </c>
      <c r="E16" s="4" t="s">
        <v>54</v>
      </c>
    </row>
    <row r="17" customFormat="false" ht="18" hidden="false" customHeight="true" outlineLevel="0" collapsed="false">
      <c r="A17" s="5" t="s">
        <v>55</v>
      </c>
      <c r="B17" s="8" t="n">
        <v>3</v>
      </c>
      <c r="C17" s="8" t="n">
        <v>2</v>
      </c>
      <c r="D17" s="8" t="n">
        <v>3</v>
      </c>
      <c r="E17" s="8" t="n">
        <v>6</v>
      </c>
    </row>
    <row r="18" customFormat="false" ht="49.5" hidden="false" customHeight="true" outlineLevel="0" collapsed="false">
      <c r="A18" s="5" t="s">
        <v>56</v>
      </c>
      <c r="B18" s="6" t="s">
        <v>57</v>
      </c>
      <c r="C18" s="6" t="s">
        <v>58</v>
      </c>
      <c r="D18" s="6" t="s">
        <v>59</v>
      </c>
      <c r="E18" s="4" t="s">
        <v>60</v>
      </c>
    </row>
    <row r="19" customFormat="false" ht="61.5" hidden="false" customHeight="true" outlineLevel="0" collapsed="false">
      <c r="A19" s="5" t="s">
        <v>61</v>
      </c>
      <c r="B19" s="6" t="s">
        <v>62</v>
      </c>
      <c r="C19" s="6" t="s">
        <v>63</v>
      </c>
      <c r="D19" s="6" t="s">
        <v>64</v>
      </c>
      <c r="E19" s="4" t="s">
        <v>65</v>
      </c>
    </row>
    <row r="20" customFormat="false" ht="45.75" hidden="false" customHeight="true" outlineLevel="0" collapsed="false">
      <c r="A20" s="5" t="s">
        <v>66</v>
      </c>
      <c r="B20" s="6" t="s">
        <v>67</v>
      </c>
      <c r="C20" s="6" t="s">
        <v>68</v>
      </c>
      <c r="D20" s="6" t="s">
        <v>69</v>
      </c>
      <c r="E20" s="6" t="s">
        <v>70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30"/>
  </cols>
  <sheetData>
    <row r="1" customFormat="false" ht="25.5" hidden="false" customHeight="true" outlineLevel="0" collapsed="false">
      <c r="A1" s="9" t="s">
        <v>71</v>
      </c>
      <c r="B1" s="9"/>
      <c r="C1" s="9"/>
      <c r="D1" s="9"/>
      <c r="E1" s="9"/>
    </row>
    <row r="3" customFormat="false" ht="21.75" hidden="false" customHeight="true" outlineLevel="0" collapsed="false">
      <c r="A3" s="2" t="s">
        <v>72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73</v>
      </c>
      <c r="B4" s="10" t="n">
        <f aca="false">SUMIF(거래데이터!$A$2:$A$457,"persona1",거래데이터!$G$2:$G$457)</f>
        <v>3486600</v>
      </c>
      <c r="C4" s="10" t="n">
        <f aca="false">SUMIF(거래데이터!$A$2:$A$457,"persona2",거래데이터!$G$2:$G$457)</f>
        <v>3297700</v>
      </c>
      <c r="D4" s="10" t="n">
        <f aca="false">SUMIF(거래데이터!$A$2:$A$457,"persona3",거래데이터!$G$2:$G$457)</f>
        <v>8652400</v>
      </c>
      <c r="E4" s="10" t="n">
        <f aca="false">SUMIF(거래데이터!$A$2:$A$457,"persona4",거래데이터!$G$2:$G$457)</f>
        <v>13500000</v>
      </c>
    </row>
    <row r="5" customFormat="false" ht="15" hidden="false" customHeight="false" outlineLevel="0" collapsed="false">
      <c r="A5" s="5" t="s">
        <v>74</v>
      </c>
      <c r="B5" s="10" t="n">
        <f aca="false">COUNTIF(거래데이터!$A$2:$A$457,"persona1")</f>
        <v>120</v>
      </c>
      <c r="C5" s="10" t="n">
        <f aca="false">COUNTIF(거래데이터!$A$2:$A$457,"persona2")</f>
        <v>107</v>
      </c>
      <c r="D5" s="10" t="n">
        <f aca="false">COUNTIF(거래데이터!$A$2:$A$457,"persona3")</f>
        <v>98</v>
      </c>
      <c r="E5" s="10" t="n">
        <f aca="false">COUNTIF(거래데이터!$A$2:$A$457,"persona4")</f>
        <v>131</v>
      </c>
    </row>
    <row r="6" customFormat="false" ht="15" hidden="false" customHeight="false" outlineLevel="0" collapsed="false">
      <c r="A6" s="5" t="s">
        <v>75</v>
      </c>
      <c r="B6" s="10" t="n">
        <f aca="false">ROUND(B4/B5,0)</f>
        <v>29055</v>
      </c>
      <c r="C6" s="10" t="n">
        <f aca="false">ROUND(C4/C5,0)</f>
        <v>30820</v>
      </c>
      <c r="D6" s="10" t="n">
        <f aca="false">ROUND(D4/D5,0)</f>
        <v>88290</v>
      </c>
      <c r="E6" s="10" t="n">
        <f aca="false">ROUND(E4/E5,0)</f>
        <v>103053</v>
      </c>
    </row>
    <row r="7" customFormat="false" ht="15" hidden="false" customHeight="false" outlineLevel="0" collapsed="false">
      <c r="A7" s="5" t="s">
        <v>76</v>
      </c>
      <c r="B7" s="10" t="n">
        <f aca="false">ROUND(B4/3,0)</f>
        <v>1162200</v>
      </c>
      <c r="C7" s="10" t="n">
        <f aca="false">ROUND(C4/3,0)</f>
        <v>1099233</v>
      </c>
      <c r="D7" s="10" t="n">
        <f aca="false">ROUND(D4/3,0)</f>
        <v>2884133</v>
      </c>
      <c r="E7" s="10" t="n">
        <f aca="false">ROUND(E4/3,0)</f>
        <v>4500000</v>
      </c>
    </row>
    <row r="8" customFormat="false" ht="15" hidden="false" customHeight="false" outlineLevel="0" collapsed="false">
      <c r="A8" s="5" t="s">
        <v>36</v>
      </c>
      <c r="B8" s="10" t="n">
        <v>1000000</v>
      </c>
      <c r="C8" s="10" t="n">
        <v>1200000</v>
      </c>
      <c r="D8" s="10" t="n">
        <v>3000000</v>
      </c>
      <c r="E8" s="10" t="n">
        <v>4500000</v>
      </c>
    </row>
    <row r="9" customFormat="false" ht="15" hidden="false" customHeight="false" outlineLevel="0" collapsed="false">
      <c r="A9" s="5" t="s">
        <v>77</v>
      </c>
      <c r="B9" s="11" t="n">
        <f aca="false">B7/B8</f>
        <v>1.1622</v>
      </c>
      <c r="C9" s="11" t="n">
        <f aca="false">C7/C8</f>
        <v>0.9160275</v>
      </c>
      <c r="D9" s="11" t="n">
        <f aca="false">D7/D8</f>
        <v>0.961377666666667</v>
      </c>
      <c r="E9" s="11" t="n">
        <f aca="false">E7/E8</f>
        <v>1</v>
      </c>
    </row>
    <row r="10" customFormat="false" ht="15" hidden="false" customHeight="false" outlineLevel="0" collapsed="false">
      <c r="A10" s="3" t="s">
        <v>78</v>
      </c>
      <c r="B10" s="10" t="n">
        <f aca="false">SUMIFS(거래데이터!$G$2:$G$457,거래데이터!$A$2:$A$457,"persona1",거래데이터!$C$2:$C$457,"2026-05")</f>
        <v>1127300</v>
      </c>
      <c r="C10" s="10" t="n">
        <f aca="false">SUMIFS(거래데이터!$G$2:$G$457,거래데이터!$A$2:$A$457,"persona2",거래데이터!$C$2:$C$457,"2026-05")</f>
        <v>1077200</v>
      </c>
      <c r="D10" s="10" t="n">
        <f aca="false">SUMIFS(거래데이터!$G$2:$G$457,거래데이터!$A$2:$A$457,"persona3",거래데이터!$C$2:$C$457,"2026-05")</f>
        <v>2855300</v>
      </c>
      <c r="E10" s="10" t="n">
        <f aca="false">SUMIFS(거래데이터!$G$2:$G$457,거래데이터!$A$2:$A$457,"persona4",거래데이터!$C$2:$C$457,"2026-05")</f>
        <v>4350000</v>
      </c>
    </row>
    <row r="11" customFormat="false" ht="15" hidden="false" customHeight="false" outlineLevel="0" collapsed="false">
      <c r="A11" s="3" t="s">
        <v>79</v>
      </c>
      <c r="B11" s="10" t="n">
        <f aca="false">SUMIFS(거래데이터!$G$2:$G$457,거래데이터!$A$2:$A$457,"persona1",거래데이터!$C$2:$C$457,"2026-06")</f>
        <v>1185400</v>
      </c>
      <c r="C11" s="10" t="n">
        <f aca="false">SUMIFS(거래데이터!$G$2:$G$457,거래데이터!$A$2:$A$457,"persona2",거래데이터!$C$2:$C$457,"2026-06")</f>
        <v>1110200</v>
      </c>
      <c r="D11" s="10" t="n">
        <f aca="false">SUMIFS(거래데이터!$G$2:$G$457,거래데이터!$A$2:$A$457,"persona3",거래데이터!$C$2:$C$457,"2026-06")</f>
        <v>2884100</v>
      </c>
      <c r="E11" s="10" t="n">
        <f aca="false">SUMIFS(거래데이터!$G$2:$G$457,거래데이터!$A$2:$A$457,"persona4",거래데이터!$C$2:$C$457,"2026-06")</f>
        <v>4500000</v>
      </c>
    </row>
    <row r="12" customFormat="false" ht="15" hidden="false" customHeight="false" outlineLevel="0" collapsed="false">
      <c r="A12" s="3" t="s">
        <v>80</v>
      </c>
      <c r="B12" s="10" t="n">
        <f aca="false">SUMIFS(거래데이터!$G$2:$G$457,거래데이터!$A$2:$A$457,"persona1",거래데이터!$C$2:$C$457,"2026-07")</f>
        <v>1173900</v>
      </c>
      <c r="C12" s="10" t="n">
        <f aca="false">SUMIFS(거래데이터!$G$2:$G$457,거래데이터!$A$2:$A$457,"persona2",거래데이터!$C$2:$C$457,"2026-07")</f>
        <v>1110300</v>
      </c>
      <c r="D12" s="10" t="n">
        <f aca="false">SUMIFS(거래데이터!$G$2:$G$457,거래데이터!$A$2:$A$457,"persona3",거래데이터!$C$2:$C$457,"2026-07")</f>
        <v>2913000</v>
      </c>
      <c r="E12" s="10" t="n">
        <f aca="false">SUMIFS(거래데이터!$G$2:$G$457,거래데이터!$A$2:$A$457,"persona4",거래데이터!$C$2:$C$457,"2026-07")</f>
        <v>4650000</v>
      </c>
    </row>
    <row r="13" customFormat="false" ht="15" hidden="false" customHeight="false" outlineLevel="0" collapsed="false">
      <c r="A13" s="5" t="s">
        <v>81</v>
      </c>
      <c r="B13" s="12" t="s">
        <v>82</v>
      </c>
      <c r="C13" s="12" t="s">
        <v>83</v>
      </c>
      <c r="D13" s="12" t="s">
        <v>84</v>
      </c>
      <c r="E13" s="12" t="s">
        <v>85</v>
      </c>
    </row>
    <row r="14" customFormat="false" ht="15" hidden="false" customHeight="false" outlineLevel="0" collapsed="false">
      <c r="A14" s="5" t="s">
        <v>86</v>
      </c>
      <c r="B14" s="12" t="s">
        <v>87</v>
      </c>
      <c r="C14" s="12" t="s">
        <v>88</v>
      </c>
      <c r="D14" s="12" t="s">
        <v>89</v>
      </c>
      <c r="E14" s="12" t="s">
        <v>90</v>
      </c>
    </row>
    <row r="15" customFormat="false" ht="15" hidden="false" customHeight="false" outlineLevel="0" collapsed="false">
      <c r="A15" s="5" t="s">
        <v>91</v>
      </c>
      <c r="B15" s="12" t="s">
        <v>92</v>
      </c>
      <c r="C15" s="12" t="s">
        <v>93</v>
      </c>
      <c r="D15" s="12" t="s">
        <v>94</v>
      </c>
      <c r="E15" s="12" t="s">
        <v>95</v>
      </c>
    </row>
    <row r="16" customFormat="false" ht="15" hidden="false" customHeight="false" outlineLevel="0" collapsed="false">
      <c r="A16" s="5" t="s">
        <v>96</v>
      </c>
      <c r="B16" s="8" t="str">
        <f aca="false">COUNTIFS(거래데이터!$A$2:$A$457,"persona1",거래데이터!$J$2:$J$457,"신용카드")&amp;" / "&amp;COUNTIFS(거래데이터!$A$2:$A$457,"persona1",거래데이터!$J$2:$J$457,"체크카드")</f>
        <v>89 / 31</v>
      </c>
      <c r="C16" s="8" t="str">
        <f aca="false">COUNTIFS(거래데이터!$A$2:$A$457,"persona2",거래데이터!$J$2:$J$457,"신용카드")&amp;" / "&amp;COUNTIFS(거래데이터!$A$2:$A$457,"persona2",거래데이터!$J$2:$J$457,"체크카드")</f>
        <v>107 / 0</v>
      </c>
      <c r="D16" s="8" t="str">
        <f aca="false">COUNTIFS(거래데이터!$A$2:$A$457,"persona3",거래데이터!$J$2:$J$457,"신용카드")&amp;" / "&amp;COUNTIFS(거래데이터!$A$2:$A$457,"persona3",거래데이터!$J$2:$J$457,"체크카드")</f>
        <v>77 / 20</v>
      </c>
      <c r="E16" s="8" t="str">
        <f aca="false">COUNTIFS(거래데이터!$A$2:$A$457,"persona4",거래데이터!$J$2:$J$457,"신용카드")&amp;" / "&amp;COUNTIFS(거래데이터!$A$2:$A$457,"persona4",거래데이터!$J$2:$J$457,"체크카드")</f>
        <v>131 / 0</v>
      </c>
    </row>
    <row r="17" customFormat="false" ht="43.5" hidden="false" customHeight="true" outlineLevel="0" collapsed="false">
      <c r="A17" s="5" t="s">
        <v>97</v>
      </c>
      <c r="B17" s="6" t="s">
        <v>98</v>
      </c>
      <c r="C17" s="6" t="s">
        <v>99</v>
      </c>
      <c r="D17" s="6" t="s">
        <v>100</v>
      </c>
      <c r="E17" s="6" t="s">
        <v>101</v>
      </c>
    </row>
    <row r="18" customFormat="false" ht="33.75" hidden="false" customHeight="true" outlineLevel="0" collapsed="false">
      <c r="A18" s="5" t="s">
        <v>102</v>
      </c>
      <c r="B18" s="6" t="s">
        <v>103</v>
      </c>
      <c r="C18" s="4" t="s">
        <v>104</v>
      </c>
      <c r="D18" s="6" t="s">
        <v>105</v>
      </c>
      <c r="E18" s="6" t="s">
        <v>106</v>
      </c>
    </row>
    <row r="19" customFormat="false" ht="15" hidden="false" customHeight="false" outlineLevel="0" collapsed="false">
      <c r="A19" s="5" t="s">
        <v>107</v>
      </c>
      <c r="B19" s="10" t="n">
        <f aca="false">SUMIF(거래데이터!$A$2:$A$457,"persona1",거래데이터!$N$2:$N$457)</f>
        <v>43000</v>
      </c>
      <c r="C19" s="10" t="n">
        <f aca="false">SUMIF(거래데이터!$A$2:$A$457,"persona2",거래데이터!$N$2:$N$457)</f>
        <v>47300</v>
      </c>
      <c r="D19" s="10" t="n">
        <f aca="false">SUMIF(거래데이터!$A$2:$A$457,"persona3",거래데이터!$N$2:$N$457)</f>
        <v>121200</v>
      </c>
      <c r="E19" s="10" t="n">
        <f aca="false">SUMIF(거래데이터!$A$2:$A$457,"persona4",거래데이터!$N$2:$N$457)</f>
        <v>140100</v>
      </c>
    </row>
    <row r="20" customFormat="false" ht="15" hidden="false" customHeight="false" outlineLevel="0" collapsed="false">
      <c r="A20" s="5" t="s">
        <v>108</v>
      </c>
      <c r="B20" s="10" t="n">
        <f aca="false">SUMIF(거래데이터!$A$2:$A$457,"persona1",거래데이터!$O$2:$O$457)</f>
        <v>105800</v>
      </c>
      <c r="C20" s="10" t="n">
        <f aca="false">SUMIF(거래데이터!$A$2:$A$457,"persona2",거래데이터!$O$2:$O$457)</f>
        <v>102300</v>
      </c>
      <c r="D20" s="10" t="n">
        <f aca="false">SUMIF(거래데이터!$A$2:$A$457,"persona3",거래데이터!$O$2:$O$457)</f>
        <v>276900</v>
      </c>
      <c r="E20" s="10" t="n">
        <f aca="false">SUMIF(거래데이터!$A$2:$A$457,"persona4",거래데이터!$O$2:$O$457)</f>
        <v>292900</v>
      </c>
    </row>
    <row r="21" customFormat="false" ht="15" hidden="false" customHeight="false" outlineLevel="0" collapsed="false">
      <c r="A21" s="5" t="s">
        <v>109</v>
      </c>
      <c r="B21" s="10" t="n">
        <f aca="false">SUMIF(거래데이터!$A$2:$A$457,"persona1",거래데이터!$P$2:$P$457)</f>
        <v>62800</v>
      </c>
      <c r="C21" s="10" t="n">
        <f aca="false">SUMIF(거래데이터!$A$2:$A$457,"persona2",거래데이터!$P$2:$P$457)</f>
        <v>55000</v>
      </c>
      <c r="D21" s="10" t="n">
        <f aca="false">SUMIF(거래데이터!$A$2:$A$457,"persona3",거래데이터!$P$2:$P$457)</f>
        <v>155700</v>
      </c>
      <c r="E21" s="10" t="n">
        <f aca="false">SUMIF(거래데이터!$A$2:$A$457,"persona4",거래데이터!$P$2:$P$457)</f>
        <v>152800</v>
      </c>
    </row>
    <row r="22" customFormat="false" ht="15" hidden="false" customHeight="false" outlineLevel="0" collapsed="false">
      <c r="A22" s="5" t="s">
        <v>110</v>
      </c>
      <c r="B22" s="11" t="n">
        <f aca="false">B21/B20</f>
        <v>0.593572778827977</v>
      </c>
      <c r="C22" s="11" t="n">
        <f aca="false">C21/C20</f>
        <v>0.537634408602151</v>
      </c>
      <c r="D22" s="11" t="n">
        <f aca="false">D21/D20</f>
        <v>0.562296858071506</v>
      </c>
      <c r="E22" s="11" t="n">
        <f aca="false">E21/E20</f>
        <v>0.521679754182315</v>
      </c>
    </row>
    <row r="23" customFormat="false" ht="15" hidden="false" customHeight="false" outlineLevel="0" collapsed="false">
      <c r="A23" s="5" t="s">
        <v>111</v>
      </c>
      <c r="B23" s="10" t="n">
        <f aca="false">COUNTIFS(거래데이터!$A$2:$A$457,"persona1",거래데이터!$M$2:$M$457,"WRONG_CARD_BEFORE_PICKA")</f>
        <v>46</v>
      </c>
      <c r="C23" s="10" t="n">
        <f aca="false">COUNTIFS(거래데이터!$A$2:$A$457,"persona2",거래데이터!$M$2:$M$457,"WRONG_CARD_BEFORE_PICKA")</f>
        <v>25</v>
      </c>
      <c r="D23" s="10" t="n">
        <f aca="false">COUNTIFS(거래데이터!$A$2:$A$457,"persona3",거래데이터!$M$2:$M$457,"WRONG_CARD_BEFORE_PICKA")</f>
        <v>45</v>
      </c>
      <c r="E23" s="10" t="n">
        <f aca="false">COUNTIFS(거래데이터!$A$2:$A$457,"persona4",거래데이터!$M$2:$M$457,"WRONG_CARD_BEFORE_PICKA")</f>
        <v>72</v>
      </c>
    </row>
    <row r="24" customFormat="false" ht="15" hidden="false" customHeight="false" outlineLevel="0" collapsed="false">
      <c r="A24" s="5" t="s">
        <v>112</v>
      </c>
      <c r="B24" s="10" t="n">
        <f aca="false">COUNTIFS(거래데이터!$A$2:$A$457,"persona1",거래데이터!$M$2:$M$457,"CAP_EXHAUSTED")</f>
        <v>45</v>
      </c>
      <c r="C24" s="10" t="n">
        <f aca="false">COUNTIFS(거래데이터!$A$2:$A$457,"persona2",거래데이터!$M$2:$M$457,"CAP_EXHAUSTED")</f>
        <v>61</v>
      </c>
      <c r="D24" s="10" t="n">
        <f aca="false">COUNTIFS(거래데이터!$A$2:$A$457,"persona3",거래데이터!$M$2:$M$457,"CAP_EXHAUSTED")</f>
        <v>37</v>
      </c>
      <c r="E24" s="10" t="n">
        <f aca="false">COUNTIFS(거래데이터!$A$2:$A$457,"persona4",거래데이터!$M$2:$M$457,"CAP_EXHAUSTED")</f>
        <v>18</v>
      </c>
    </row>
    <row r="25" customFormat="false" ht="15" hidden="false" customHeight="false" outlineLevel="0" collapsed="false">
      <c r="A25" s="5" t="s">
        <v>113</v>
      </c>
      <c r="B25" s="10" t="n">
        <f aca="false">COUNTIFS(거래데이터!$A$2:$A$457,"persona1",거래데이터!$M$2:$M$457,"BENEFIT_RECEIVED")</f>
        <v>23</v>
      </c>
      <c r="C25" s="10" t="n">
        <f aca="false">COUNTIFS(거래데이터!$A$2:$A$457,"persona2",거래데이터!$M$2:$M$457,"BENEFIT_RECEIVED")</f>
        <v>19</v>
      </c>
      <c r="D25" s="10" t="n">
        <f aca="false">COUNTIFS(거래데이터!$A$2:$A$457,"persona3",거래데이터!$M$2:$M$457,"BENEFIT_RECEIVED")</f>
        <v>15</v>
      </c>
      <c r="E25" s="10" t="n">
        <f aca="false">COUNTIFS(거래데이터!$A$2:$A$457,"persona4",거래데이터!$M$2:$M$457,"BENEFIT_RECEIVED")</f>
        <v>41</v>
      </c>
    </row>
    <row r="26" customFormat="false" ht="15" hidden="false" customHeight="false" outlineLevel="0" collapsed="false">
      <c r="A26" s="5" t="s">
        <v>114</v>
      </c>
      <c r="B26" s="10" t="n">
        <f aca="false">COUNTIFS(거래데이터!$A$2:$A$457,"persona1",거래데이터!$M$2:$M$457,"NO_ELIGIBLE_BENEFIT")</f>
        <v>6</v>
      </c>
      <c r="C26" s="10" t="n">
        <f aca="false">COUNTIFS(거래데이터!$A$2:$A$457,"persona2",거래데이터!$M$2:$M$457,"NO_ELIGIBLE_BENEFIT")</f>
        <v>2</v>
      </c>
      <c r="D26" s="10" t="n">
        <f aca="false">COUNTIFS(거래데이터!$A$2:$A$457,"persona3",거래데이터!$M$2:$M$457,"NO_ELIGIBLE_BENEFIT")</f>
        <v>1</v>
      </c>
      <c r="E26" s="10" t="n">
        <f aca="false">COUNTIFS(거래데이터!$A$2:$A$457,"persona4",거래데이터!$M$2:$M$457,"NO_ELIGIBLE_BENEFIT")</f>
        <v>0</v>
      </c>
    </row>
    <row r="27" customFormat="false" ht="43.5" hidden="false" customHeight="true" outlineLevel="0" collapsed="false">
      <c r="A27" s="5" t="s">
        <v>115</v>
      </c>
      <c r="B27" s="6" t="s">
        <v>116</v>
      </c>
      <c r="C27" s="6" t="s">
        <v>117</v>
      </c>
      <c r="D27" s="6" t="s">
        <v>118</v>
      </c>
      <c r="E27" s="6" t="s">
        <v>119</v>
      </c>
    </row>
    <row r="29" customFormat="false" ht="14.15" hidden="false" customHeight="false" outlineLevel="0" collapsed="false">
      <c r="A29" s="13" t="s">
        <v>120</v>
      </c>
      <c r="B29" s="13"/>
      <c r="C29" s="13"/>
      <c r="D29" s="13"/>
      <c r="E29" s="13"/>
    </row>
  </sheetData>
  <mergeCells count="2">
    <mergeCell ref="A1:E1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4"/>
  </cols>
  <sheetData>
    <row r="1" customFormat="false" ht="25.5" hidden="false" customHeight="true" outlineLevel="0" collapsed="false">
      <c r="A1" s="9" t="s">
        <v>121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21.75" hidden="false" customHeight="true" outlineLevel="0" collapsed="false">
      <c r="A3" s="2" t="s">
        <v>122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</row>
    <row r="4" customFormat="false" ht="15" hidden="false" customHeight="false" outlineLevel="0" collapsed="false">
      <c r="A4" s="14" t="s">
        <v>132</v>
      </c>
      <c r="B4" s="15" t="n">
        <f aca="false">SUMIFS(거래데이터!$G$2:$G$457,거래데이터!$A$2:$A$457,"persona1",거래데이터!$F$2:$F$457,$A4)</f>
        <v>78400</v>
      </c>
      <c r="C4" s="15" t="n">
        <f aca="false">SUMIFS(거래데이터!$G$2:$G$457,거래데이터!$A$2:$A$457,"persona2",거래데이터!$F$2:$F$457,$A4)</f>
        <v>95100</v>
      </c>
      <c r="D4" s="15" t="n">
        <f aca="false">SUMIFS(거래데이터!$G$2:$G$457,거래데이터!$A$2:$A$457,"persona3",거래데이터!$F$2:$F$457,$A4)</f>
        <v>1581100</v>
      </c>
      <c r="E4" s="15" t="n">
        <f aca="false">SUMIFS(거래데이터!$G$2:$G$457,거래데이터!$A$2:$A$457,"persona4",거래데이터!$F$2:$F$457,$A4)</f>
        <v>3889700</v>
      </c>
      <c r="F4" s="16" t="n">
        <f aca="false">IFERROR(B4/B$32,0)</f>
        <v>0.0224860896001836</v>
      </c>
      <c r="G4" s="16" t="n">
        <f aca="false">IFERROR(C4/C$32,0)</f>
        <v>0.0288382812263092</v>
      </c>
      <c r="H4" s="16" t="n">
        <f aca="false">IFERROR(D4/D$32,0)</f>
        <v>0.182735426008969</v>
      </c>
      <c r="I4" s="16" t="n">
        <f aca="false">IFERROR(E4/E$32,0)</f>
        <v>0.288125925925926</v>
      </c>
      <c r="J4" s="15" t="n">
        <f aca="false">SUM(B4:E4)</f>
        <v>5644300</v>
      </c>
    </row>
    <row r="5" customFormat="false" ht="15" hidden="false" customHeight="false" outlineLevel="0" collapsed="false">
      <c r="A5" s="17" t="s">
        <v>133</v>
      </c>
      <c r="B5" s="18" t="n">
        <f aca="false">SUMIFS(거래데이터!$G$2:$G$457,거래데이터!$A$2:$A$457,"persona1",거래데이터!$F$2:$F$457,$A5)</f>
        <v>153000</v>
      </c>
      <c r="C5" s="18" t="n">
        <f aca="false">SUMIFS(거래데이터!$G$2:$G$457,거래데이터!$A$2:$A$457,"persona2",거래데이터!$F$2:$F$457,$A5)</f>
        <v>236100</v>
      </c>
      <c r="D5" s="18" t="n">
        <f aca="false">SUMIFS(거래데이터!$G$2:$G$457,거래데이터!$A$2:$A$457,"persona3",거래데이터!$F$2:$F$457,$A5)</f>
        <v>1667400</v>
      </c>
      <c r="E5" s="18" t="n">
        <f aca="false">SUMIFS(거래데이터!$G$2:$G$457,거래데이터!$A$2:$A$457,"persona4",거래데이터!$F$2:$F$457,$A5)</f>
        <v>2476900</v>
      </c>
      <c r="F5" s="19" t="n">
        <f aca="false">IFERROR(B5/B$32,0)</f>
        <v>0.0438822922044399</v>
      </c>
      <c r="G5" s="19" t="n">
        <f aca="false">IFERROR(C5/C$32,0)</f>
        <v>0.0715953543378719</v>
      </c>
      <c r="H5" s="19" t="n">
        <f aca="false">IFERROR(D5/D$32,0)</f>
        <v>0.192709537238223</v>
      </c>
      <c r="I5" s="19" t="n">
        <f aca="false">IFERROR(E5/E$32,0)</f>
        <v>0.183474074074074</v>
      </c>
      <c r="J5" s="18" t="n">
        <f aca="false">SUM(B5:E5)</f>
        <v>4533400</v>
      </c>
    </row>
    <row r="6" customFormat="false" ht="15" hidden="false" customHeight="false" outlineLevel="0" collapsed="false">
      <c r="A6" s="14" t="s">
        <v>134</v>
      </c>
      <c r="B6" s="15" t="n">
        <f aca="false">SUMIFS(거래데이터!$G$2:$G$457,거래데이터!$A$2:$A$457,"persona1",거래데이터!$F$2:$F$457,$A6)</f>
        <v>191300</v>
      </c>
      <c r="C6" s="15" t="n">
        <f aca="false">SUMIFS(거래데이터!$G$2:$G$457,거래데이터!$A$2:$A$457,"persona2",거래데이터!$F$2:$F$457,$A6)</f>
        <v>159000</v>
      </c>
      <c r="D6" s="15" t="n">
        <f aca="false">SUMIFS(거래데이터!$G$2:$G$457,거래데이터!$A$2:$A$457,"persona3",거래데이터!$F$2:$F$457,$A6)</f>
        <v>939900</v>
      </c>
      <c r="E6" s="15" t="n">
        <f aca="false">SUMIFS(거래데이터!$G$2:$G$457,거래데이터!$A$2:$A$457,"persona4",거래데이터!$F$2:$F$457,$A6)</f>
        <v>1375400</v>
      </c>
      <c r="F6" s="16" t="n">
        <f aca="false">IFERROR(B6/B$32,0)</f>
        <v>0.0548672058739173</v>
      </c>
      <c r="G6" s="16" t="n">
        <f aca="false">IFERROR(C6/C$32,0)</f>
        <v>0.0482154228704855</v>
      </c>
      <c r="H6" s="16" t="n">
        <f aca="false">IFERROR(D6/D$32,0)</f>
        <v>0.108628819749434</v>
      </c>
      <c r="I6" s="16" t="n">
        <f aca="false">IFERROR(E6/E$32,0)</f>
        <v>0.101881481481481</v>
      </c>
      <c r="J6" s="15" t="n">
        <f aca="false">SUM(B6:E6)</f>
        <v>2665600</v>
      </c>
    </row>
    <row r="7" customFormat="false" ht="15" hidden="false" customHeight="false" outlineLevel="0" collapsed="false">
      <c r="A7" s="17" t="s">
        <v>135</v>
      </c>
      <c r="B7" s="18" t="n">
        <f aca="false">SUMIFS(거래데이터!$G$2:$G$457,거래데이터!$A$2:$A$457,"persona1",거래데이터!$F$2:$F$457,$A7)</f>
        <v>24300</v>
      </c>
      <c r="C7" s="18" t="n">
        <f aca="false">SUMIFS(거래데이터!$G$2:$G$457,거래데이터!$A$2:$A$457,"persona2",거래데이터!$F$2:$F$457,$A7)</f>
        <v>704400</v>
      </c>
      <c r="D7" s="18" t="n">
        <f aca="false">SUMIFS(거래데이터!$G$2:$G$457,거래데이터!$A$2:$A$457,"persona3",거래데이터!$F$2:$F$457,$A7)</f>
        <v>498600</v>
      </c>
      <c r="E7" s="18" t="n">
        <f aca="false">SUMIFS(거래데이터!$G$2:$G$457,거래데이터!$A$2:$A$457,"persona4",거래데이터!$F$2:$F$457,$A7)</f>
        <v>615800</v>
      </c>
      <c r="F7" s="19" t="n">
        <f aca="false">IFERROR(B7/B$32,0)</f>
        <v>0.00696954052658751</v>
      </c>
      <c r="G7" s="19" t="n">
        <f aca="false">IFERROR(C7/C$32,0)</f>
        <v>0.213603420565849</v>
      </c>
      <c r="H7" s="19" t="n">
        <f aca="false">IFERROR(D7/D$32,0)</f>
        <v>0.0576256298830382</v>
      </c>
      <c r="I7" s="19" t="n">
        <f aca="false">IFERROR(E7/E$32,0)</f>
        <v>0.0456148148148148</v>
      </c>
      <c r="J7" s="18" t="n">
        <f aca="false">SUM(B7:E7)</f>
        <v>1843100</v>
      </c>
    </row>
    <row r="8" customFormat="false" ht="15" hidden="false" customHeight="false" outlineLevel="0" collapsed="false">
      <c r="A8" s="14" t="s">
        <v>136</v>
      </c>
      <c r="B8" s="15" t="n">
        <f aca="false">SUMIFS(거래데이터!$G$2:$G$457,거래데이터!$A$2:$A$457,"persona1",거래데이터!$F$2:$F$457,$A8)</f>
        <v>72900</v>
      </c>
      <c r="C8" s="15" t="n">
        <f aca="false">SUMIFS(거래데이터!$G$2:$G$457,거래데이터!$A$2:$A$457,"persona2",거래데이터!$F$2:$F$457,$A8)</f>
        <v>241000</v>
      </c>
      <c r="D8" s="15" t="n">
        <f aca="false">SUMIFS(거래데이터!$G$2:$G$457,거래데이터!$A$2:$A$457,"persona3",거래데이터!$F$2:$F$457,$A8)</f>
        <v>1326900</v>
      </c>
      <c r="E8" s="15" t="n">
        <f aca="false">SUMIFS(거래데이터!$G$2:$G$457,거래데이터!$A$2:$A$457,"persona4",거래데이터!$F$2:$F$457,$A8)</f>
        <v>156900</v>
      </c>
      <c r="F8" s="16" t="n">
        <f aca="false">IFERROR(B8/B$32,0)</f>
        <v>0.0209086215797625</v>
      </c>
      <c r="G8" s="16" t="n">
        <f aca="false">IFERROR(C8/C$32,0)</f>
        <v>0.073081238438912</v>
      </c>
      <c r="H8" s="16" t="n">
        <f aca="false">IFERROR(D8/D$32,0)</f>
        <v>0.153356294207388</v>
      </c>
      <c r="I8" s="16" t="n">
        <f aca="false">IFERROR(E8/E$32,0)</f>
        <v>0.0116222222222222</v>
      </c>
      <c r="J8" s="15" t="n">
        <f aca="false">SUM(B8:E8)</f>
        <v>1797700</v>
      </c>
    </row>
    <row r="9" customFormat="false" ht="15" hidden="false" customHeight="false" outlineLevel="0" collapsed="false">
      <c r="A9" s="17" t="s">
        <v>137</v>
      </c>
      <c r="B9" s="18" t="n">
        <f aca="false">SUMIFS(거래데이터!$G$2:$G$457,거래데이터!$A$2:$A$457,"persona1",거래데이터!$F$2:$F$457,$A9)</f>
        <v>387800</v>
      </c>
      <c r="C9" s="18" t="n">
        <f aca="false">SUMIFS(거래데이터!$G$2:$G$457,거래데이터!$A$2:$A$457,"persona2",거래데이터!$F$2:$F$457,$A9)</f>
        <v>364100</v>
      </c>
      <c r="D9" s="18" t="n">
        <f aca="false">SUMIFS(거래데이터!$G$2:$G$457,거래데이터!$A$2:$A$457,"persona3",거래데이터!$F$2:$F$457,$A9)</f>
        <v>227200</v>
      </c>
      <c r="E9" s="18" t="n">
        <f aca="false">SUMIFS(거래데이터!$G$2:$G$457,거래데이터!$A$2:$A$457,"persona4",거래데이터!$F$2:$F$457,$A9)</f>
        <v>411700</v>
      </c>
      <c r="F9" s="19" t="n">
        <f aca="false">IFERROR(B9/B$32,0)</f>
        <v>0.111225836058051</v>
      </c>
      <c r="G9" s="19" t="n">
        <f aca="false">IFERROR(C9/C$32,0)</f>
        <v>0.110410285956879</v>
      </c>
      <c r="H9" s="19" t="n">
        <f aca="false">IFERROR(D9/D$32,0)</f>
        <v>0.0262586103277703</v>
      </c>
      <c r="I9" s="19" t="n">
        <f aca="false">IFERROR(E9/E$32,0)</f>
        <v>0.0304962962962963</v>
      </c>
      <c r="J9" s="18" t="n">
        <f aca="false">SUM(B9:E9)</f>
        <v>1390800</v>
      </c>
    </row>
    <row r="10" customFormat="false" ht="15" hidden="false" customHeight="false" outlineLevel="0" collapsed="false">
      <c r="A10" s="14" t="s">
        <v>138</v>
      </c>
      <c r="B10" s="15" t="n">
        <f aca="false">SUMIFS(거래데이터!$G$2:$G$457,거래데이터!$A$2:$A$457,"persona1",거래데이터!$F$2:$F$457,$A10)</f>
        <v>140000</v>
      </c>
      <c r="C10" s="15" t="n">
        <f aca="false">SUMIFS(거래데이터!$G$2:$G$457,거래데이터!$A$2:$A$457,"persona2",거래데이터!$F$2:$F$457,$A10)</f>
        <v>108800</v>
      </c>
      <c r="D10" s="15" t="n">
        <f aca="false">SUMIFS(거래데이터!$G$2:$G$457,거래데이터!$A$2:$A$457,"persona3",거래데이터!$F$2:$F$457,$A10)</f>
        <v>247200</v>
      </c>
      <c r="E10" s="15" t="n">
        <f aca="false">SUMIFS(거래데이터!$G$2:$G$457,거래데이터!$A$2:$A$457,"persona4",거래데이터!$F$2:$F$457,$A10)</f>
        <v>699900</v>
      </c>
      <c r="F10" s="16" t="n">
        <f aca="false">IFERROR(B10/B$32,0)</f>
        <v>0.0401537314288992</v>
      </c>
      <c r="G10" s="16" t="n">
        <f aca="false">IFERROR(C10/C$32,0)</f>
        <v>0.0329926918761561</v>
      </c>
      <c r="H10" s="16" t="n">
        <f aca="false">IFERROR(D10/D$32,0)</f>
        <v>0.0285701077157783</v>
      </c>
      <c r="I10" s="16" t="n">
        <f aca="false">IFERROR(E10/E$32,0)</f>
        <v>0.0518444444444444</v>
      </c>
      <c r="J10" s="15" t="n">
        <f aca="false">SUM(B10:E10)</f>
        <v>1195900</v>
      </c>
    </row>
    <row r="11" customFormat="false" ht="15" hidden="false" customHeight="false" outlineLevel="0" collapsed="false">
      <c r="A11" s="17" t="s">
        <v>139</v>
      </c>
      <c r="B11" s="18" t="n">
        <f aca="false">SUMIFS(거래데이터!$G$2:$G$457,거래데이터!$A$2:$A$457,"persona1",거래데이터!$F$2:$F$457,$A11)</f>
        <v>545700</v>
      </c>
      <c r="C11" s="18" t="n">
        <f aca="false">SUMIFS(거래데이터!$G$2:$G$457,거래데이터!$A$2:$A$457,"persona2",거래데이터!$F$2:$F$457,$A11)</f>
        <v>34600</v>
      </c>
      <c r="D11" s="18" t="n">
        <f aca="false">SUMIFS(거래데이터!$G$2:$G$457,거래데이터!$A$2:$A$457,"persona3",거래데이터!$F$2:$F$457,$A11)</f>
        <v>218400</v>
      </c>
      <c r="E11" s="18" t="n">
        <f aca="false">SUMIFS(거래데이터!$G$2:$G$457,거래데이터!$A$2:$A$457,"persona4",거래데이터!$F$2:$F$457,$A11)</f>
        <v>264400</v>
      </c>
      <c r="F11" s="19" t="n">
        <f aca="false">IFERROR(B11/B$32,0)</f>
        <v>0.156513508862502</v>
      </c>
      <c r="G11" s="19" t="n">
        <f aca="false">IFERROR(C11/C$32,0)</f>
        <v>0.0104921612032629</v>
      </c>
      <c r="H11" s="19" t="n">
        <f aca="false">IFERROR(D11/D$32,0)</f>
        <v>0.0252415514770468</v>
      </c>
      <c r="I11" s="19" t="n">
        <f aca="false">IFERROR(E11/E$32,0)</f>
        <v>0.0195851851851852</v>
      </c>
      <c r="J11" s="18" t="n">
        <f aca="false">SUM(B11:E11)</f>
        <v>1063100</v>
      </c>
    </row>
    <row r="12" customFormat="false" ht="15" hidden="false" customHeight="false" outlineLevel="0" collapsed="false">
      <c r="A12" s="14" t="s">
        <v>140</v>
      </c>
      <c r="B12" s="15" t="n">
        <f aca="false">SUMIFS(거래데이터!$G$2:$G$457,거래데이터!$A$2:$A$457,"persona1",거래데이터!$F$2:$F$457,$A12)</f>
        <v>138200</v>
      </c>
      <c r="C12" s="15" t="n">
        <f aca="false">SUMIFS(거래데이터!$G$2:$G$457,거래데이터!$A$2:$A$457,"persona2",거래데이터!$F$2:$F$457,$A12)</f>
        <v>28500</v>
      </c>
      <c r="D12" s="15" t="n">
        <f aca="false">SUMIFS(거래데이터!$G$2:$G$457,거래데이터!$A$2:$A$457,"persona3",거래데이터!$F$2:$F$457,$A12)</f>
        <v>63200</v>
      </c>
      <c r="E12" s="15" t="n">
        <f aca="false">SUMIFS(거래데이터!$G$2:$G$457,거래데이터!$A$2:$A$457,"persona4",거래데이터!$F$2:$F$457,$A12)</f>
        <v>763300</v>
      </c>
      <c r="F12" s="16" t="n">
        <f aca="false">IFERROR(B12/B$32,0)</f>
        <v>0.0396374691676705</v>
      </c>
      <c r="G12" s="16" t="n">
        <f aca="false">IFERROR(C12/C$32,0)</f>
        <v>0.00864238711829457</v>
      </c>
      <c r="H12" s="16" t="n">
        <f aca="false">IFERROR(D12/D$32,0)</f>
        <v>0.00730433174610513</v>
      </c>
      <c r="I12" s="16" t="n">
        <f aca="false">IFERROR(E12/E$32,0)</f>
        <v>0.0565407407407407</v>
      </c>
      <c r="J12" s="15" t="n">
        <f aca="false">SUM(B12:E12)</f>
        <v>993200</v>
      </c>
    </row>
    <row r="13" customFormat="false" ht="15" hidden="false" customHeight="false" outlineLevel="0" collapsed="false">
      <c r="A13" s="17" t="s">
        <v>141</v>
      </c>
      <c r="B13" s="18" t="n">
        <f aca="false">SUMIFS(거래데이터!$G$2:$G$457,거래데이터!$A$2:$A$457,"persona1",거래데이터!$F$2:$F$457,$A13)</f>
        <v>241500</v>
      </c>
      <c r="C13" s="18" t="n">
        <f aca="false">SUMIFS(거래데이터!$G$2:$G$457,거래데이터!$A$2:$A$457,"persona2",거래데이터!$F$2:$F$457,$A13)</f>
        <v>167600</v>
      </c>
      <c r="D13" s="18" t="n">
        <f aca="false">SUMIFS(거래데이터!$G$2:$G$457,거래데이터!$A$2:$A$457,"persona3",거래데이터!$F$2:$F$457,$A13)</f>
        <v>212800</v>
      </c>
      <c r="E13" s="18" t="n">
        <f aca="false">SUMIFS(거래데이터!$G$2:$G$457,거래데이터!$A$2:$A$457,"persona4",거래데이터!$F$2:$F$457,$A13)</f>
        <v>247300</v>
      </c>
      <c r="F13" s="19" t="n">
        <f aca="false">IFERROR(B13/B$32,0)</f>
        <v>0.0692651867148511</v>
      </c>
      <c r="G13" s="19" t="n">
        <f aca="false">IFERROR(C13/C$32,0)</f>
        <v>0.0508233010886375</v>
      </c>
      <c r="H13" s="19" t="n">
        <f aca="false">IFERROR(D13/D$32,0)</f>
        <v>0.0245943322084046</v>
      </c>
      <c r="I13" s="19" t="n">
        <f aca="false">IFERROR(E13/E$32,0)</f>
        <v>0.0183185185185185</v>
      </c>
      <c r="J13" s="18" t="n">
        <f aca="false">SUM(B13:E13)</f>
        <v>869200</v>
      </c>
    </row>
    <row r="14" customFormat="false" ht="15" hidden="false" customHeight="false" outlineLevel="0" collapsed="false">
      <c r="A14" s="14" t="s">
        <v>142</v>
      </c>
      <c r="B14" s="15" t="n">
        <f aca="false">SUMIFS(거래데이터!$G$2:$G$457,거래데이터!$A$2:$A$457,"persona1",거래데이터!$F$2:$F$457,$A14)</f>
        <v>146600</v>
      </c>
      <c r="C14" s="15" t="n">
        <f aca="false">SUMIFS(거래데이터!$G$2:$G$457,거래데이터!$A$2:$A$457,"persona2",거래데이터!$F$2:$F$457,$A14)</f>
        <v>180700</v>
      </c>
      <c r="D14" s="15" t="n">
        <f aca="false">SUMIFS(거래데이터!$G$2:$G$457,거래데이터!$A$2:$A$457,"persona3",거래데이터!$F$2:$F$457,$A14)</f>
        <v>210100</v>
      </c>
      <c r="E14" s="15" t="n">
        <f aca="false">SUMIFS(거래데이터!$G$2:$G$457,거래데이터!$A$2:$A$457,"persona4",거래데이터!$F$2:$F$457,$A14)</f>
        <v>289800</v>
      </c>
      <c r="F14" s="16" t="n">
        <f aca="false">IFERROR(B14/B$32,0)</f>
        <v>0.0420466930534045</v>
      </c>
      <c r="G14" s="16" t="n">
        <f aca="false">IFERROR(C14/C$32,0)</f>
        <v>0.0547957667465203</v>
      </c>
      <c r="H14" s="16" t="n">
        <f aca="false">IFERROR(D14/D$32,0)</f>
        <v>0.0242822800610235</v>
      </c>
      <c r="I14" s="16" t="n">
        <f aca="false">IFERROR(E14/E$32,0)</f>
        <v>0.0214666666666667</v>
      </c>
      <c r="J14" s="15" t="n">
        <f aca="false">SUM(B14:E14)</f>
        <v>827200</v>
      </c>
    </row>
    <row r="15" customFormat="false" ht="15" hidden="false" customHeight="false" outlineLevel="0" collapsed="false">
      <c r="A15" s="17" t="s">
        <v>143</v>
      </c>
      <c r="B15" s="18" t="n">
        <f aca="false">SUMIFS(거래데이터!$G$2:$G$457,거래데이터!$A$2:$A$457,"persona1",거래데이터!$F$2:$F$457,$A15)</f>
        <v>43600</v>
      </c>
      <c r="C15" s="18" t="n">
        <f aca="false">SUMIFS(거래데이터!$G$2:$G$457,거래데이터!$A$2:$A$457,"persona2",거래데이터!$F$2:$F$457,$A15)</f>
        <v>16100</v>
      </c>
      <c r="D15" s="18" t="n">
        <f aca="false">SUMIFS(거래데이터!$G$2:$G$457,거래데이터!$A$2:$A$457,"persona3",거래데이터!$F$2:$F$457,$A15)</f>
        <v>258300</v>
      </c>
      <c r="E15" s="18" t="n">
        <f aca="false">SUMIFS(거래데이터!$G$2:$G$457,거래데이터!$A$2:$A$457,"persona4",거래데이터!$F$2:$F$457,$A15)</f>
        <v>478100</v>
      </c>
      <c r="F15" s="19" t="n">
        <f aca="false">IFERROR(B15/B$32,0)</f>
        <v>0.0125050192164286</v>
      </c>
      <c r="G15" s="19" t="n">
        <f aca="false">IFERROR(C15/C$32,0)</f>
        <v>0.00488219061770325</v>
      </c>
      <c r="H15" s="19" t="n">
        <f aca="false">IFERROR(D15/D$32,0)</f>
        <v>0.0298529887661227</v>
      </c>
      <c r="I15" s="19" t="n">
        <f aca="false">IFERROR(E15/E$32,0)</f>
        <v>0.0354148148148148</v>
      </c>
      <c r="J15" s="18" t="n">
        <f aca="false">SUM(B15:E15)</f>
        <v>796100</v>
      </c>
    </row>
    <row r="16" customFormat="false" ht="15" hidden="false" customHeight="false" outlineLevel="0" collapsed="false">
      <c r="A16" s="14" t="s">
        <v>144</v>
      </c>
      <c r="B16" s="15" t="n">
        <f aca="false">SUMIFS(거래데이터!$G$2:$G$457,거래데이터!$A$2:$A$457,"persona1",거래데이터!$F$2:$F$457,$A16)</f>
        <v>179200</v>
      </c>
      <c r="C16" s="15" t="n">
        <f aca="false">SUMIFS(거래데이터!$G$2:$G$457,거래데이터!$A$2:$A$457,"persona2",거래데이터!$F$2:$F$457,$A16)</f>
        <v>118800</v>
      </c>
      <c r="D16" s="15" t="n">
        <f aca="false">SUMIFS(거래데이터!$G$2:$G$457,거래데이터!$A$2:$A$457,"persona3",거래데이터!$F$2:$F$457,$A16)</f>
        <v>168100</v>
      </c>
      <c r="E16" s="15" t="n">
        <f aca="false">SUMIFS(거래데이터!$G$2:$G$457,거래데이터!$A$2:$A$457,"persona4",거래데이터!$F$2:$F$457,$A16)</f>
        <v>255100</v>
      </c>
      <c r="F16" s="16" t="n">
        <f aca="false">IFERROR(B16/B$32,0)</f>
        <v>0.051396776228991</v>
      </c>
      <c r="G16" s="16" t="n">
        <f aca="false">IFERROR(C16/C$32,0)</f>
        <v>0.036025108408891</v>
      </c>
      <c r="H16" s="16" t="n">
        <f aca="false">IFERROR(D16/D$32,0)</f>
        <v>0.0194281355462068</v>
      </c>
      <c r="I16" s="16" t="n">
        <f aca="false">IFERROR(E16/E$32,0)</f>
        <v>0.0188962962962963</v>
      </c>
      <c r="J16" s="15" t="n">
        <f aca="false">SUM(B16:E16)</f>
        <v>721200</v>
      </c>
    </row>
    <row r="17" customFormat="false" ht="15" hidden="false" customHeight="false" outlineLevel="0" collapsed="false">
      <c r="A17" s="17" t="s">
        <v>145</v>
      </c>
      <c r="B17" s="18" t="n">
        <f aca="false">SUMIFS(거래데이터!$G$2:$G$457,거래데이터!$A$2:$A$457,"persona1",거래데이터!$F$2:$F$457,$A17)</f>
        <v>238900</v>
      </c>
      <c r="C17" s="18" t="n">
        <f aca="false">SUMIFS(거래데이터!$G$2:$G$457,거래데이터!$A$2:$A$457,"persona2",거래데이터!$F$2:$F$457,$A17)</f>
        <v>110600</v>
      </c>
      <c r="D17" s="18" t="n">
        <f aca="false">SUMIFS(거래데이터!$G$2:$G$457,거래데이터!$A$2:$A$457,"persona3",거래데이터!$F$2:$F$457,$A17)</f>
        <v>105100</v>
      </c>
      <c r="E17" s="18" t="n">
        <f aca="false">SUMIFS(거래데이터!$G$2:$G$457,거래데이터!$A$2:$A$457,"persona4",거래데이터!$F$2:$F$457,$A17)</f>
        <v>223000</v>
      </c>
      <c r="F17" s="19" t="n">
        <f aca="false">IFERROR(B17/B$32,0)</f>
        <v>0.068519474559743</v>
      </c>
      <c r="G17" s="19" t="n">
        <f aca="false">IFERROR(C17/C$32,0)</f>
        <v>0.0335385268520484</v>
      </c>
      <c r="H17" s="19" t="n">
        <f aca="false">IFERROR(D17/D$32,0)</f>
        <v>0.0121469187739818</v>
      </c>
      <c r="I17" s="19" t="n">
        <f aca="false">IFERROR(E17/E$32,0)</f>
        <v>0.0165185185185185</v>
      </c>
      <c r="J17" s="18" t="n">
        <f aca="false">SUM(B17:E17)</f>
        <v>677600</v>
      </c>
    </row>
    <row r="18" customFormat="false" ht="15" hidden="false" customHeight="false" outlineLevel="0" collapsed="false">
      <c r="A18" s="14" t="s">
        <v>146</v>
      </c>
      <c r="B18" s="15" t="n">
        <f aca="false">SUMIFS(거래데이터!$G$2:$G$457,거래데이터!$A$2:$A$457,"persona1",거래데이터!$F$2:$F$457,$A18)</f>
        <v>22100</v>
      </c>
      <c r="C18" s="15" t="n">
        <f aca="false">SUMIFS(거래데이터!$G$2:$G$457,거래데이터!$A$2:$A$457,"persona2",거래데이터!$F$2:$F$457,$A18)</f>
        <v>164600</v>
      </c>
      <c r="D18" s="15" t="n">
        <f aca="false">SUMIFS(거래데이터!$G$2:$G$457,거래데이터!$A$2:$A$457,"persona3",거래데이터!$F$2:$F$457,$A18)</f>
        <v>138800</v>
      </c>
      <c r="E18" s="15" t="n">
        <f aca="false">SUMIFS(거래데이터!$G$2:$G$457,거래데이터!$A$2:$A$457,"persona4",거래데이터!$F$2:$F$457,$A18)</f>
        <v>233600</v>
      </c>
      <c r="F18" s="16" t="n">
        <f aca="false">IFERROR(B18/B$32,0)</f>
        <v>0.00633855331841909</v>
      </c>
      <c r="G18" s="16" t="n">
        <f aca="false">IFERROR(C18/C$32,0)</f>
        <v>0.0499135761288171</v>
      </c>
      <c r="H18" s="16" t="n">
        <f aca="false">IFERROR(D18/D$32,0)</f>
        <v>0.0160417918727752</v>
      </c>
      <c r="I18" s="16" t="n">
        <f aca="false">IFERROR(E18/E$32,0)</f>
        <v>0.0173037037037037</v>
      </c>
      <c r="J18" s="15" t="n">
        <f aca="false">SUM(B18:E18)</f>
        <v>559100</v>
      </c>
    </row>
    <row r="19" customFormat="false" ht="15" hidden="false" customHeight="false" outlineLevel="0" collapsed="false">
      <c r="A19" s="17" t="s">
        <v>147</v>
      </c>
      <c r="B19" s="18" t="n">
        <f aca="false">SUMIFS(거래데이터!$G$2:$G$457,거래데이터!$A$2:$A$457,"persona1",거래데이터!$F$2:$F$457,$A19)</f>
        <v>103600</v>
      </c>
      <c r="C19" s="18" t="n">
        <f aca="false">SUMIFS(거래데이터!$G$2:$G$457,거래데이터!$A$2:$A$457,"persona2",거래데이터!$F$2:$F$457,$A19)</f>
        <v>93900</v>
      </c>
      <c r="D19" s="18" t="n">
        <f aca="false">SUMIFS(거래데이터!$G$2:$G$457,거래데이터!$A$2:$A$457,"persona3",거래데이터!$F$2:$F$457,$A19)</f>
        <v>89300</v>
      </c>
      <c r="E19" s="18" t="n">
        <f aca="false">SUMIFS(거래데이터!$G$2:$G$457,거래데이터!$A$2:$A$457,"persona4",거래데이터!$F$2:$F$457,$A19)</f>
        <v>180100</v>
      </c>
      <c r="F19" s="19" t="n">
        <f aca="false">IFERROR(B19/B$32,0)</f>
        <v>0.0297137612573854</v>
      </c>
      <c r="G19" s="19" t="n">
        <f aca="false">IFERROR(C19/C$32,0)</f>
        <v>0.0284743912423811</v>
      </c>
      <c r="H19" s="19" t="n">
        <f aca="false">IFERROR(D19/D$32,0)</f>
        <v>0.0103208358374555</v>
      </c>
      <c r="I19" s="19" t="n">
        <f aca="false">IFERROR(E19/E$32,0)</f>
        <v>0.0133407407407407</v>
      </c>
      <c r="J19" s="18" t="n">
        <f aca="false">SUM(B19:E19)</f>
        <v>466900</v>
      </c>
    </row>
    <row r="20" customFormat="false" ht="15" hidden="false" customHeight="false" outlineLevel="0" collapsed="false">
      <c r="A20" s="14" t="s">
        <v>148</v>
      </c>
      <c r="B20" s="15" t="n">
        <f aca="false">SUMIFS(거래데이터!$G$2:$G$457,거래데이터!$A$2:$A$457,"persona1",거래데이터!$F$2:$F$457,$A20)</f>
        <v>174400</v>
      </c>
      <c r="C20" s="15" t="n">
        <f aca="false">SUMIFS(거래데이터!$G$2:$G$457,거래데이터!$A$2:$A$457,"persona2",거래데이터!$F$2:$F$457,$A20)</f>
        <v>157900</v>
      </c>
      <c r="D20" s="15" t="n">
        <f aca="false">SUMIFS(거래데이터!$G$2:$G$457,거래데이터!$A$2:$A$457,"persona3",거래데이터!$F$2:$F$457,$A20)</f>
        <v>53000</v>
      </c>
      <c r="E20" s="15" t="n">
        <f aca="false">SUMIFS(거래데이터!$G$2:$G$457,거래데이터!$A$2:$A$457,"persona4",거래데이터!$F$2:$F$457,$A20)</f>
        <v>61200</v>
      </c>
      <c r="F20" s="16" t="n">
        <f aca="false">IFERROR(B20/B$32,0)</f>
        <v>0.0500200768657145</v>
      </c>
      <c r="G20" s="16" t="n">
        <f aca="false">IFERROR(C20/C$32,0)</f>
        <v>0.0478818570518847</v>
      </c>
      <c r="H20" s="16" t="n">
        <f aca="false">IFERROR(D20/D$32,0)</f>
        <v>0.00612546807822107</v>
      </c>
      <c r="I20" s="16" t="n">
        <f aca="false">IFERROR(E20/E$32,0)</f>
        <v>0.00453333333333333</v>
      </c>
      <c r="J20" s="15" t="n">
        <f aca="false">SUM(B20:E20)</f>
        <v>446500</v>
      </c>
    </row>
    <row r="21" customFormat="false" ht="15" hidden="false" customHeight="false" outlineLevel="0" collapsed="false">
      <c r="A21" s="17" t="s">
        <v>149</v>
      </c>
      <c r="B21" s="18" t="n">
        <f aca="false">SUMIFS(거래데이터!$G$2:$G$457,거래데이터!$A$2:$A$457,"persona1",거래데이터!$F$2:$F$457,$A21)</f>
        <v>216300</v>
      </c>
      <c r="C21" s="18" t="n">
        <f aca="false">SUMIFS(거래데이터!$G$2:$G$457,거래데이터!$A$2:$A$457,"persona2",거래데이터!$F$2:$F$457,$A21)</f>
        <v>23400</v>
      </c>
      <c r="D21" s="18" t="n">
        <f aca="false">SUMIFS(거래데이터!$G$2:$G$457,거래데이터!$A$2:$A$457,"persona3",거래데이터!$F$2:$F$457,$A21)</f>
        <v>68000</v>
      </c>
      <c r="E21" s="18" t="n">
        <f aca="false">SUMIFS(거래데이터!$G$2:$G$457,거래데이터!$A$2:$A$457,"persona4",거래데이터!$F$2:$F$457,$A21)</f>
        <v>95100</v>
      </c>
      <c r="F21" s="19" t="n">
        <f aca="false">IFERROR(B21/B$32,0)</f>
        <v>0.0620375150576493</v>
      </c>
      <c r="G21" s="19" t="n">
        <f aca="false">IFERROR(C21/C$32,0)</f>
        <v>0.00709585468659975</v>
      </c>
      <c r="H21" s="19" t="n">
        <f aca="false">IFERROR(D21/D$32,0)</f>
        <v>0.00785909111922704</v>
      </c>
      <c r="I21" s="19" t="n">
        <f aca="false">IFERROR(E21/E$32,0)</f>
        <v>0.00704444444444444</v>
      </c>
      <c r="J21" s="18" t="n">
        <f aca="false">SUM(B21:E21)</f>
        <v>402800</v>
      </c>
    </row>
    <row r="22" customFormat="false" ht="15" hidden="false" customHeight="false" outlineLevel="0" collapsed="false">
      <c r="A22" s="14" t="s">
        <v>150</v>
      </c>
      <c r="B22" s="15" t="n">
        <f aca="false">SUMIFS(거래데이터!$G$2:$G$457,거래데이터!$A$2:$A$457,"persona1",거래데이터!$F$2:$F$457,$A22)</f>
        <v>75200</v>
      </c>
      <c r="C22" s="15" t="n">
        <f aca="false">SUMIFS(거래데이터!$G$2:$G$457,거래데이터!$A$2:$A$457,"persona2",거래데이터!$F$2:$F$457,$A22)</f>
        <v>72700</v>
      </c>
      <c r="D22" s="15" t="n">
        <f aca="false">SUMIFS(거래데이터!$G$2:$G$457,거래데이터!$A$2:$A$457,"persona3",거래데이터!$F$2:$F$457,$A22)</f>
        <v>99800</v>
      </c>
      <c r="E22" s="15" t="n">
        <f aca="false">SUMIFS(거래데이터!$G$2:$G$457,거래데이터!$A$2:$A$457,"persona4",거래데이터!$F$2:$F$457,$A22)</f>
        <v>130700</v>
      </c>
      <c r="F22" s="16" t="n">
        <f aca="false">IFERROR(B22/B$32,0)</f>
        <v>0.0215682900246659</v>
      </c>
      <c r="G22" s="16" t="n">
        <f aca="false">IFERROR(C22/C$32,0)</f>
        <v>0.022045668192983</v>
      </c>
      <c r="H22" s="16" t="n">
        <f aca="false">IFERROR(D22/D$32,0)</f>
        <v>0.0115343719661597</v>
      </c>
      <c r="I22" s="16" t="n">
        <f aca="false">IFERROR(E22/E$32,0)</f>
        <v>0.00968148148148148</v>
      </c>
      <c r="J22" s="15" t="n">
        <f aca="false">SUM(B22:E22)</f>
        <v>378400</v>
      </c>
    </row>
    <row r="23" customFormat="false" ht="15" hidden="false" customHeight="false" outlineLevel="0" collapsed="false">
      <c r="A23" s="17" t="s">
        <v>151</v>
      </c>
      <c r="B23" s="18" t="n">
        <f aca="false">SUMIFS(거래데이터!$G$2:$G$457,거래데이터!$A$2:$A$457,"persona1",거래데이터!$F$2:$F$457,$A23)</f>
        <v>71300</v>
      </c>
      <c r="C23" s="18" t="n">
        <f aca="false">SUMIFS(거래데이터!$G$2:$G$457,거래데이터!$A$2:$A$457,"persona2",거래데이터!$F$2:$F$457,$A23)</f>
        <v>32300</v>
      </c>
      <c r="D23" s="18" t="n">
        <f aca="false">SUMIFS(거래데이터!$G$2:$G$457,거래데이터!$A$2:$A$457,"persona3",거래데이터!$F$2:$F$457,$A23)</f>
        <v>89200</v>
      </c>
      <c r="E23" s="18" t="n">
        <f aca="false">SUMIFS(거래데이터!$G$2:$G$457,거래데이터!$A$2:$A$457,"persona4",거래데이터!$F$2:$F$457,$A23)</f>
        <v>159300</v>
      </c>
      <c r="F23" s="19" t="n">
        <f aca="false">IFERROR(B23/B$32,0)</f>
        <v>0.0204497217920037</v>
      </c>
      <c r="G23" s="19" t="n">
        <f aca="false">IFERROR(C23/C$32,0)</f>
        <v>0.00979470540073384</v>
      </c>
      <c r="H23" s="19" t="n">
        <f aca="false">IFERROR(D23/D$32,0)</f>
        <v>0.0103092783505155</v>
      </c>
      <c r="I23" s="19" t="n">
        <f aca="false">IFERROR(E23/E$32,0)</f>
        <v>0.0118</v>
      </c>
      <c r="J23" s="18" t="n">
        <f aca="false">SUM(B23:E23)</f>
        <v>352100</v>
      </c>
    </row>
    <row r="24" customFormat="false" ht="15" hidden="false" customHeight="false" outlineLevel="0" collapsed="false">
      <c r="A24" s="14" t="s">
        <v>152</v>
      </c>
      <c r="B24" s="15" t="n">
        <f aca="false">SUMIFS(거래데이터!$G$2:$G$457,거래데이터!$A$2:$A$457,"persona1",거래데이터!$F$2:$F$457,$A24)</f>
        <v>43400</v>
      </c>
      <c r="C24" s="15" t="n">
        <f aca="false">SUMIFS(거래데이터!$G$2:$G$457,거래데이터!$A$2:$A$457,"persona2",거래데이터!$F$2:$F$457,$A24)</f>
        <v>74200</v>
      </c>
      <c r="D24" s="15" t="n">
        <f aca="false">SUMIFS(거래데이터!$G$2:$G$457,거래데이터!$A$2:$A$457,"persona3",거래데이터!$F$2:$F$457,$A24)</f>
        <v>84600</v>
      </c>
      <c r="E24" s="15" t="n">
        <f aca="false">SUMIFS(거래데이터!$G$2:$G$457,거래데이터!$A$2:$A$457,"persona4",거래데이터!$F$2:$F$457,$A24)</f>
        <v>114300</v>
      </c>
      <c r="F24" s="16" t="n">
        <f aca="false">IFERROR(B24/B$32,0)</f>
        <v>0.0124476567429588</v>
      </c>
      <c r="G24" s="16" t="n">
        <f aca="false">IFERROR(C24/C$32,0)</f>
        <v>0.0225005306728932</v>
      </c>
      <c r="H24" s="16" t="n">
        <f aca="false">IFERROR(D24/D$32,0)</f>
        <v>0.00977763395127364</v>
      </c>
      <c r="I24" s="16" t="n">
        <f aca="false">IFERROR(E24/E$32,0)</f>
        <v>0.00846666666666667</v>
      </c>
      <c r="J24" s="15" t="n">
        <f aca="false">SUM(B24:E24)</f>
        <v>316500</v>
      </c>
    </row>
    <row r="25" customFormat="false" ht="15" hidden="false" customHeight="false" outlineLevel="0" collapsed="false">
      <c r="A25" s="17" t="s">
        <v>153</v>
      </c>
      <c r="B25" s="18" t="n">
        <f aca="false">SUMIFS(거래데이터!$G$2:$G$457,거래데이터!$A$2:$A$457,"persona1",거래데이터!$F$2:$F$457,$A25)</f>
        <v>45400</v>
      </c>
      <c r="C25" s="18" t="n">
        <f aca="false">SUMIFS(거래데이터!$G$2:$G$457,거래데이터!$A$2:$A$457,"persona2",거래데이터!$F$2:$F$457,$A25)</f>
        <v>10200</v>
      </c>
      <c r="D25" s="18" t="n">
        <f aca="false">SUMIFS(거래데이터!$G$2:$G$457,거래데이터!$A$2:$A$457,"persona3",거래데이터!$F$2:$F$457,$A25)</f>
        <v>97300</v>
      </c>
      <c r="E25" s="18" t="n">
        <f aca="false">SUMIFS(거래데이터!$G$2:$G$457,거래데이터!$A$2:$A$457,"persona4",거래데이터!$F$2:$F$457,$A25)</f>
        <v>143900</v>
      </c>
      <c r="F25" s="19" t="n">
        <f aca="false">IFERROR(B25/B$32,0)</f>
        <v>0.0130212814776573</v>
      </c>
      <c r="G25" s="19" t="n">
        <f aca="false">IFERROR(C25/C$32,0)</f>
        <v>0.00309306486338964</v>
      </c>
      <c r="H25" s="19" t="n">
        <f aca="false">IFERROR(D25/D$32,0)</f>
        <v>0.0112454347926587</v>
      </c>
      <c r="I25" s="19" t="n">
        <f aca="false">IFERROR(E25/E$32,0)</f>
        <v>0.0106592592592593</v>
      </c>
      <c r="J25" s="18" t="n">
        <f aca="false">SUM(B25:E25)</f>
        <v>296800</v>
      </c>
    </row>
    <row r="26" customFormat="false" ht="15" hidden="false" customHeight="false" outlineLevel="0" collapsed="false">
      <c r="A26" s="14" t="s">
        <v>154</v>
      </c>
      <c r="B26" s="15" t="n">
        <f aca="false">SUMIFS(거래데이터!$G$2:$G$457,거래데이터!$A$2:$A$457,"persona1",거래데이터!$F$2:$F$457,$A26)</f>
        <v>48300</v>
      </c>
      <c r="C26" s="15" t="n">
        <f aca="false">SUMIFS(거래데이터!$G$2:$G$457,거래데이터!$A$2:$A$457,"persona2",거래데이터!$F$2:$F$457,$A26)</f>
        <v>72900</v>
      </c>
      <c r="D26" s="15" t="n">
        <f aca="false">SUMIFS(거래데이터!$G$2:$G$457,거래데이터!$A$2:$A$457,"persona3",거래데이터!$F$2:$F$457,$A26)</f>
        <v>72700</v>
      </c>
      <c r="E26" s="15" t="n">
        <f aca="false">SUMIFS(거래데이터!$G$2:$G$457,거래데이터!$A$2:$A$457,"persona4",거래데이터!$F$2:$F$457,$A26)</f>
        <v>50900</v>
      </c>
      <c r="F26" s="16" t="n">
        <f aca="false">IFERROR(B26/B$32,0)</f>
        <v>0.0138530373429702</v>
      </c>
      <c r="G26" s="16" t="n">
        <f aca="false">IFERROR(C26/C$32,0)</f>
        <v>0.0221063165236377</v>
      </c>
      <c r="H26" s="16" t="n">
        <f aca="false">IFERROR(D26/D$32,0)</f>
        <v>0.0084022930054089</v>
      </c>
      <c r="I26" s="16" t="n">
        <f aca="false">IFERROR(E26/E$32,0)</f>
        <v>0.00377037037037037</v>
      </c>
      <c r="J26" s="15" t="n">
        <f aca="false">SUM(B26:E26)</f>
        <v>244800</v>
      </c>
    </row>
    <row r="27" customFormat="false" ht="15" hidden="false" customHeight="false" outlineLevel="0" collapsed="false">
      <c r="A27" s="17" t="s">
        <v>155</v>
      </c>
      <c r="B27" s="18" t="n">
        <f aca="false">SUMIFS(거래데이터!$G$2:$G$457,거래데이터!$A$2:$A$457,"persona1",거래데이터!$F$2:$F$457,$A27)</f>
        <v>89900</v>
      </c>
      <c r="C27" s="18" t="n">
        <f aca="false">SUMIFS(거래데이터!$G$2:$G$457,거래데이터!$A$2:$A$457,"persona2",거래데이터!$F$2:$F$457,$A27)</f>
        <v>8300</v>
      </c>
      <c r="D27" s="18" t="n">
        <f aca="false">SUMIFS(거래데이터!$G$2:$G$457,거래데이터!$A$2:$A$457,"persona3",거래데이터!$F$2:$F$457,$A27)</f>
        <v>10300</v>
      </c>
      <c r="E27" s="18" t="n">
        <f aca="false">SUMIFS(거래데이터!$G$2:$G$457,거래데이터!$A$2:$A$457,"persona4",거래데이터!$F$2:$F$457,$A27)</f>
        <v>50000</v>
      </c>
      <c r="F27" s="19" t="n">
        <f aca="false">IFERROR(B27/B$32,0)</f>
        <v>0.0257844318247003</v>
      </c>
      <c r="G27" s="19" t="n">
        <f aca="false">IFERROR(C27/C$32,0)</f>
        <v>0.00251690572217</v>
      </c>
      <c r="H27" s="19" t="n">
        <f aca="false">IFERROR(D27/D$32,0)</f>
        <v>0.0011904211548241</v>
      </c>
      <c r="I27" s="19" t="n">
        <f aca="false">IFERROR(E27/E$32,0)</f>
        <v>0.0037037037037037</v>
      </c>
      <c r="J27" s="18" t="n">
        <f aca="false">SUM(B27:E27)</f>
        <v>158500</v>
      </c>
    </row>
    <row r="28" customFormat="false" ht="15" hidden="false" customHeight="false" outlineLevel="0" collapsed="false">
      <c r="A28" s="14" t="s">
        <v>156</v>
      </c>
      <c r="B28" s="15" t="n">
        <f aca="false">SUMIFS(거래데이터!$G$2:$G$457,거래데이터!$A$2:$A$457,"persona1",거래데이터!$F$2:$F$457,$A28)</f>
        <v>2600</v>
      </c>
      <c r="C28" s="15" t="n">
        <f aca="false">SUMIFS(거래데이터!$G$2:$G$457,거래데이터!$A$2:$A$457,"persona2",거래데이터!$F$2:$F$457,$A28)</f>
        <v>2900</v>
      </c>
      <c r="D28" s="15" t="n">
        <f aca="false">SUMIFS(거래데이터!$G$2:$G$457,거래데이터!$A$2:$A$457,"persona3",거래데이터!$F$2:$F$457,$A28)</f>
        <v>62000</v>
      </c>
      <c r="E28" s="15" t="n">
        <f aca="false">SUMIFS(거래데이터!$G$2:$G$457,거래데이터!$A$2:$A$457,"persona4",거래데이터!$F$2:$F$457,$A28)</f>
        <v>56700</v>
      </c>
      <c r="F28" s="16" t="n">
        <f aca="false">IFERROR(B28/B$32,0)</f>
        <v>0.000745712155108128</v>
      </c>
      <c r="G28" s="16" t="n">
        <f aca="false">IFERROR(C28/C$32,0)</f>
        <v>0.000879400794493132</v>
      </c>
      <c r="H28" s="16" t="n">
        <f aca="false">IFERROR(D28/D$32,0)</f>
        <v>0.00716564190282465</v>
      </c>
      <c r="I28" s="16" t="n">
        <f aca="false">IFERROR(E28/E$32,0)</f>
        <v>0.0042</v>
      </c>
      <c r="J28" s="15" t="n">
        <f aca="false">SUM(B28:E28)</f>
        <v>124200</v>
      </c>
    </row>
    <row r="29" customFormat="false" ht="15" hidden="false" customHeight="false" outlineLevel="0" collapsed="false">
      <c r="A29" s="17" t="s">
        <v>157</v>
      </c>
      <c r="B29" s="18" t="n">
        <f aca="false">SUMIFS(거래데이터!$G$2:$G$457,거래데이터!$A$2:$A$457,"persona1",거래데이터!$F$2:$F$457,$A29)</f>
        <v>2700</v>
      </c>
      <c r="C29" s="18" t="n">
        <f aca="false">SUMIFS(거래데이터!$G$2:$G$457,거래데이터!$A$2:$A$457,"persona2",거래데이터!$F$2:$F$457,$A29)</f>
        <v>5800</v>
      </c>
      <c r="D29" s="18" t="n">
        <f aca="false">SUMIFS(거래데이터!$G$2:$G$457,거래데이터!$A$2:$A$457,"persona3",거래데이터!$F$2:$F$457,$A29)</f>
        <v>17800</v>
      </c>
      <c r="E29" s="18" t="n">
        <f aca="false">SUMIFS(거래데이터!$G$2:$G$457,거래데이터!$A$2:$A$457,"persona4",거래데이터!$F$2:$F$457,$A29)</f>
        <v>53600</v>
      </c>
      <c r="F29" s="19" t="n">
        <f aca="false">IFERROR(B29/B$32,0)</f>
        <v>0.000774393391843056</v>
      </c>
      <c r="G29" s="19" t="n">
        <f aca="false">IFERROR(C29/C$32,0)</f>
        <v>0.00175880158898626</v>
      </c>
      <c r="H29" s="19" t="n">
        <f aca="false">IFERROR(D29/D$32,0)</f>
        <v>0.00205723267532708</v>
      </c>
      <c r="I29" s="19" t="n">
        <f aca="false">IFERROR(E29/E$32,0)</f>
        <v>0.00397037037037037</v>
      </c>
      <c r="J29" s="18" t="n">
        <f aca="false">SUM(B29:E29)</f>
        <v>79900</v>
      </c>
    </row>
    <row r="30" customFormat="false" ht="15" hidden="false" customHeight="false" outlineLevel="0" collapsed="false">
      <c r="A30" s="14" t="s">
        <v>158</v>
      </c>
      <c r="B30" s="15" t="n">
        <f aca="false">SUMIFS(거래데이터!$G$2:$G$457,거래데이터!$A$2:$A$457,"persona1",거래데이터!$F$2:$F$457,$A30)</f>
        <v>3400</v>
      </c>
      <c r="C30" s="15" t="n">
        <f aca="false">SUMIFS(거래데이터!$G$2:$G$457,거래데이터!$A$2:$A$457,"persona2",거래데이터!$F$2:$F$457,$A30)</f>
        <v>5300</v>
      </c>
      <c r="D30" s="15" t="n">
        <f aca="false">SUMIFS(거래데이터!$G$2:$G$457,거래데이터!$A$2:$A$457,"persona3",거래데이터!$F$2:$F$457,$A30)</f>
        <v>25800</v>
      </c>
      <c r="E30" s="15" t="n">
        <f aca="false">SUMIFS(거래데이터!$G$2:$G$457,거래데이터!$A$2:$A$457,"persona4",거래데이터!$F$2:$F$457,$A30)</f>
        <v>14600</v>
      </c>
      <c r="F30" s="16" t="n">
        <f aca="false">IFERROR(B30/B$32,0)</f>
        <v>0.000975162048987552</v>
      </c>
      <c r="G30" s="16" t="n">
        <f aca="false">IFERROR(C30/C$32,0)</f>
        <v>0.00160718076234952</v>
      </c>
      <c r="H30" s="16" t="n">
        <f aca="false">IFERROR(D30/D$32,0)</f>
        <v>0.00298183163053026</v>
      </c>
      <c r="I30" s="16" t="n">
        <f aca="false">IFERROR(E30/E$32,0)</f>
        <v>0.00108148148148148</v>
      </c>
      <c r="J30" s="15" t="n">
        <f aca="false">SUM(B30:E30)</f>
        <v>49100</v>
      </c>
    </row>
    <row r="31" customFormat="false" ht="15" hidden="false" customHeight="false" outlineLevel="0" collapsed="false">
      <c r="A31" s="17" t="s">
        <v>50</v>
      </c>
      <c r="B31" s="18" t="n">
        <f aca="false">SUMIFS(거래데이터!$G$2:$G$457,거래데이터!$A$2:$A$457,"persona1",거래데이터!$F$2:$F$457,$A31)</f>
        <v>6600</v>
      </c>
      <c r="C31" s="18" t="n">
        <f aca="false">SUMIFS(거래데이터!$G$2:$G$457,거래데이터!$A$2:$A$457,"persona2",거래데이터!$F$2:$F$457,$A31)</f>
        <v>7900</v>
      </c>
      <c r="D31" s="18" t="n">
        <f aca="false">SUMIFS(거래데이터!$G$2:$G$457,거래데이터!$A$2:$A$457,"persona3",거래데이터!$F$2:$F$457,$A31)</f>
        <v>19500</v>
      </c>
      <c r="E31" s="18" t="n">
        <f aca="false">SUMIFS(거래데이터!$G$2:$G$457,거래데이터!$A$2:$A$457,"persona4",거래데이터!$F$2:$F$457,$A31)</f>
        <v>8700</v>
      </c>
      <c r="F31" s="19" t="n">
        <f aca="false">IFERROR(B31/B$32,0)</f>
        <v>0.00189296162450525</v>
      </c>
      <c r="G31" s="19" t="n">
        <f aca="false">IFERROR(C31/C$32,0)</f>
        <v>0.0023956090608606</v>
      </c>
      <c r="H31" s="19" t="n">
        <f aca="false">IFERROR(D31/D$32,0)</f>
        <v>0.00225370995330775</v>
      </c>
      <c r="I31" s="19" t="n">
        <f aca="false">IFERROR(E31/E$32,0)</f>
        <v>0.000644444444444444</v>
      </c>
      <c r="J31" s="18" t="n">
        <f aca="false">SUM(B31:E31)</f>
        <v>42700</v>
      </c>
    </row>
    <row r="32" customFormat="false" ht="15" hidden="false" customHeight="false" outlineLevel="0" collapsed="false">
      <c r="A32" s="20" t="s">
        <v>131</v>
      </c>
      <c r="B32" s="21" t="n">
        <f aca="false">SUM(B4:B31)</f>
        <v>3486600</v>
      </c>
      <c r="C32" s="21" t="n">
        <f aca="false">SUM(C4:C31)</f>
        <v>3297700</v>
      </c>
      <c r="D32" s="21" t="n">
        <f aca="false">SUM(D4:D31)</f>
        <v>8652400</v>
      </c>
      <c r="E32" s="21" t="n">
        <f aca="false">SUM(E4:E31)</f>
        <v>13500000</v>
      </c>
      <c r="F32" s="22" t="n">
        <f aca="false">SUM(F4:F31)</f>
        <v>1</v>
      </c>
      <c r="G32" s="22" t="n">
        <f aca="false">SUM(G4:G31)</f>
        <v>1</v>
      </c>
      <c r="H32" s="22" t="n">
        <f aca="false">SUM(H4:H31)</f>
        <v>1</v>
      </c>
      <c r="I32" s="22" t="n">
        <f aca="false">SUM(I4:I31)</f>
        <v>1</v>
      </c>
      <c r="J32" s="21" t="n">
        <f aca="false">SUM(B32:E32)</f>
        <v>28936700</v>
      </c>
    </row>
    <row r="34" customFormat="false" ht="15" hidden="false" customHeight="false" outlineLevel="0" collapsed="false">
      <c r="A34" s="23" t="s">
        <v>159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3" min="11" style="0" width="24"/>
    <col collapsed="false" customWidth="true" hidden="false" outlineLevel="0" max="16" min="14" style="0" width="11"/>
    <col collapsed="false" customWidth="true" hidden="false" outlineLevel="0" max="17" min="17" style="0" width="46"/>
  </cols>
  <sheetData>
    <row r="1" customFormat="false" ht="15" hidden="false" customHeight="false" outlineLevel="0" collapsed="false">
      <c r="A1" s="2" t="s">
        <v>160</v>
      </c>
      <c r="B1" s="2" t="s">
        <v>11</v>
      </c>
      <c r="C1" s="2" t="s">
        <v>161</v>
      </c>
      <c r="D1" s="2" t="s">
        <v>162</v>
      </c>
      <c r="E1" s="2" t="s">
        <v>163</v>
      </c>
      <c r="F1" s="2" t="s">
        <v>122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</row>
    <row r="2" customFormat="false" ht="15" hidden="false" customHeight="false" outlineLevel="0" collapsed="false">
      <c r="A2" s="24" t="s">
        <v>7</v>
      </c>
      <c r="B2" s="25" t="s">
        <v>2</v>
      </c>
      <c r="C2" s="24" t="s">
        <v>175</v>
      </c>
      <c r="D2" s="24" t="s">
        <v>176</v>
      </c>
      <c r="E2" s="25" t="s">
        <v>177</v>
      </c>
      <c r="F2" s="25" t="s">
        <v>140</v>
      </c>
      <c r="G2" s="26" t="n">
        <v>58900</v>
      </c>
      <c r="H2" s="26" t="n">
        <v>0</v>
      </c>
      <c r="I2" s="26" t="n">
        <v>58900</v>
      </c>
      <c r="J2" s="25" t="s">
        <v>178</v>
      </c>
      <c r="K2" s="25" t="s">
        <v>179</v>
      </c>
      <c r="L2" s="25" t="s">
        <v>180</v>
      </c>
      <c r="M2" s="24" t="s">
        <v>181</v>
      </c>
      <c r="N2" s="26" t="n">
        <v>0</v>
      </c>
      <c r="O2" s="26" t="n">
        <v>1400</v>
      </c>
      <c r="P2" s="26" t="n">
        <v>1400</v>
      </c>
      <c r="Q2" s="25" t="s">
        <v>182</v>
      </c>
    </row>
    <row r="3" customFormat="false" ht="15" hidden="false" customHeight="false" outlineLevel="0" collapsed="false">
      <c r="A3" s="24" t="s">
        <v>7</v>
      </c>
      <c r="B3" s="25" t="s">
        <v>2</v>
      </c>
      <c r="C3" s="24" t="s">
        <v>175</v>
      </c>
      <c r="D3" s="24" t="s">
        <v>176</v>
      </c>
      <c r="E3" s="25" t="s">
        <v>183</v>
      </c>
      <c r="F3" s="25" t="s">
        <v>184</v>
      </c>
      <c r="G3" s="26" t="n">
        <v>78400</v>
      </c>
      <c r="H3" s="26" t="n">
        <v>0</v>
      </c>
      <c r="I3" s="26" t="n">
        <v>78400</v>
      </c>
      <c r="J3" s="25" t="s">
        <v>185</v>
      </c>
      <c r="K3" s="25" t="s">
        <v>180</v>
      </c>
      <c r="L3" s="25" t="s">
        <v>180</v>
      </c>
      <c r="M3" s="24" t="s">
        <v>186</v>
      </c>
      <c r="N3" s="26" t="n">
        <v>0</v>
      </c>
      <c r="O3" s="26" t="n">
        <v>2000</v>
      </c>
      <c r="P3" s="26" t="n">
        <v>2000</v>
      </c>
      <c r="Q3" s="25" t="s">
        <v>187</v>
      </c>
    </row>
    <row r="4" customFormat="false" ht="15" hidden="false" customHeight="false" outlineLevel="0" collapsed="false">
      <c r="A4" s="24" t="s">
        <v>7</v>
      </c>
      <c r="B4" s="25" t="s">
        <v>2</v>
      </c>
      <c r="C4" s="24" t="s">
        <v>175</v>
      </c>
      <c r="D4" s="24" t="s">
        <v>176</v>
      </c>
      <c r="E4" s="25" t="s">
        <v>188</v>
      </c>
      <c r="F4" s="25" t="s">
        <v>189</v>
      </c>
      <c r="G4" s="26" t="n">
        <v>20500</v>
      </c>
      <c r="H4" s="26" t="n">
        <v>0</v>
      </c>
      <c r="I4" s="26" t="n">
        <v>20500</v>
      </c>
      <c r="J4" s="25" t="s">
        <v>185</v>
      </c>
      <c r="K4" s="25" t="s">
        <v>190</v>
      </c>
      <c r="L4" s="25" t="s">
        <v>179</v>
      </c>
      <c r="M4" s="24" t="s">
        <v>181</v>
      </c>
      <c r="N4" s="26" t="n">
        <v>0</v>
      </c>
      <c r="O4" s="26" t="n">
        <v>500</v>
      </c>
      <c r="P4" s="26" t="n">
        <v>500</v>
      </c>
      <c r="Q4" s="25" t="s">
        <v>182</v>
      </c>
    </row>
    <row r="5" customFormat="false" ht="15" hidden="false" customHeight="false" outlineLevel="0" collapsed="false">
      <c r="A5" s="24" t="s">
        <v>7</v>
      </c>
      <c r="B5" s="25" t="s">
        <v>2</v>
      </c>
      <c r="C5" s="24" t="s">
        <v>175</v>
      </c>
      <c r="D5" s="24" t="s">
        <v>191</v>
      </c>
      <c r="E5" s="25" t="s">
        <v>192</v>
      </c>
      <c r="F5" s="25" t="s">
        <v>147</v>
      </c>
      <c r="G5" s="26" t="n">
        <v>46200</v>
      </c>
      <c r="H5" s="26" t="n">
        <v>2400</v>
      </c>
      <c r="I5" s="26" t="n">
        <v>43800</v>
      </c>
      <c r="J5" s="25" t="s">
        <v>178</v>
      </c>
      <c r="K5" s="25" t="s">
        <v>179</v>
      </c>
      <c r="L5" s="25" t="s">
        <v>179</v>
      </c>
      <c r="M5" s="24" t="s">
        <v>193</v>
      </c>
      <c r="N5" s="26" t="n">
        <v>2400</v>
      </c>
      <c r="O5" s="26" t="n">
        <v>2400</v>
      </c>
      <c r="P5" s="26" t="n">
        <v>0</v>
      </c>
      <c r="Q5" s="24"/>
    </row>
    <row r="6" customFormat="false" ht="15" hidden="false" customHeight="false" outlineLevel="0" collapsed="false">
      <c r="A6" s="24" t="s">
        <v>7</v>
      </c>
      <c r="B6" s="25" t="s">
        <v>2</v>
      </c>
      <c r="C6" s="24" t="s">
        <v>175</v>
      </c>
      <c r="D6" s="24" t="s">
        <v>191</v>
      </c>
      <c r="E6" s="25" t="s">
        <v>194</v>
      </c>
      <c r="F6" s="25" t="s">
        <v>145</v>
      </c>
      <c r="G6" s="26" t="n">
        <v>61700</v>
      </c>
      <c r="H6" s="26" t="n">
        <v>3300</v>
      </c>
      <c r="I6" s="26" t="n">
        <v>58400</v>
      </c>
      <c r="J6" s="25" t="s">
        <v>185</v>
      </c>
      <c r="K6" s="25" t="s">
        <v>180</v>
      </c>
      <c r="L6" s="25" t="s">
        <v>180</v>
      </c>
      <c r="M6" s="24" t="s">
        <v>193</v>
      </c>
      <c r="N6" s="26" t="n">
        <v>3300</v>
      </c>
      <c r="O6" s="26" t="n">
        <v>3300</v>
      </c>
      <c r="P6" s="26" t="n">
        <v>0</v>
      </c>
      <c r="Q6" s="24"/>
    </row>
    <row r="7" customFormat="false" ht="15" hidden="false" customHeight="false" outlineLevel="0" collapsed="false">
      <c r="A7" s="24" t="s">
        <v>7</v>
      </c>
      <c r="B7" s="25" t="s">
        <v>2</v>
      </c>
      <c r="C7" s="24" t="s">
        <v>175</v>
      </c>
      <c r="D7" s="24" t="s">
        <v>191</v>
      </c>
      <c r="E7" s="25" t="s">
        <v>195</v>
      </c>
      <c r="F7" s="25" t="s">
        <v>144</v>
      </c>
      <c r="G7" s="26" t="n">
        <v>16200</v>
      </c>
      <c r="H7" s="26" t="n">
        <v>0</v>
      </c>
      <c r="I7" s="26" t="n">
        <v>16200</v>
      </c>
      <c r="J7" s="25" t="s">
        <v>185</v>
      </c>
      <c r="K7" s="25" t="s">
        <v>190</v>
      </c>
      <c r="L7" s="24"/>
      <c r="M7" s="24" t="s">
        <v>196</v>
      </c>
      <c r="N7" s="26" t="n">
        <v>0</v>
      </c>
      <c r="O7" s="26" t="n">
        <v>0</v>
      </c>
      <c r="P7" s="26" t="n">
        <v>0</v>
      </c>
      <c r="Q7" s="25" t="s">
        <v>197</v>
      </c>
    </row>
    <row r="8" customFormat="false" ht="15" hidden="false" customHeight="false" outlineLevel="0" collapsed="false">
      <c r="A8" s="24" t="s">
        <v>7</v>
      </c>
      <c r="B8" s="25" t="s">
        <v>2</v>
      </c>
      <c r="C8" s="24" t="s">
        <v>175</v>
      </c>
      <c r="D8" s="24" t="s">
        <v>198</v>
      </c>
      <c r="E8" s="25" t="s">
        <v>199</v>
      </c>
      <c r="F8" s="25" t="s">
        <v>200</v>
      </c>
      <c r="G8" s="26" t="n">
        <v>67200</v>
      </c>
      <c r="H8" s="26" t="n">
        <v>0</v>
      </c>
      <c r="I8" s="26" t="n">
        <v>67200</v>
      </c>
      <c r="J8" s="25" t="s">
        <v>178</v>
      </c>
      <c r="K8" s="25" t="s">
        <v>179</v>
      </c>
      <c r="L8" s="25" t="s">
        <v>179</v>
      </c>
      <c r="M8" s="24" t="s">
        <v>186</v>
      </c>
      <c r="N8" s="26" t="n">
        <v>0</v>
      </c>
      <c r="O8" s="26" t="n">
        <v>1600</v>
      </c>
      <c r="P8" s="26" t="n">
        <v>1600</v>
      </c>
      <c r="Q8" s="25" t="s">
        <v>187</v>
      </c>
    </row>
    <row r="9" customFormat="false" ht="15" hidden="false" customHeight="false" outlineLevel="0" collapsed="false">
      <c r="A9" s="24" t="s">
        <v>7</v>
      </c>
      <c r="B9" s="25" t="s">
        <v>2</v>
      </c>
      <c r="C9" s="24" t="s">
        <v>175</v>
      </c>
      <c r="D9" s="24" t="s">
        <v>198</v>
      </c>
      <c r="E9" s="25" t="s">
        <v>201</v>
      </c>
      <c r="F9" s="25" t="s">
        <v>134</v>
      </c>
      <c r="G9" s="26" t="n">
        <v>89600</v>
      </c>
      <c r="H9" s="26" t="n">
        <v>0</v>
      </c>
      <c r="I9" s="26" t="n">
        <v>89600</v>
      </c>
      <c r="J9" s="25" t="s">
        <v>185</v>
      </c>
      <c r="K9" s="25" t="s">
        <v>180</v>
      </c>
      <c r="L9" s="25" t="s">
        <v>180</v>
      </c>
      <c r="M9" s="24" t="s">
        <v>186</v>
      </c>
      <c r="N9" s="26" t="n">
        <v>0</v>
      </c>
      <c r="O9" s="26" t="n">
        <v>2300</v>
      </c>
      <c r="P9" s="26" t="n">
        <v>2300</v>
      </c>
      <c r="Q9" s="25" t="s">
        <v>187</v>
      </c>
    </row>
    <row r="10" customFormat="false" ht="15" hidden="false" customHeight="false" outlineLevel="0" collapsed="false">
      <c r="A10" s="24" t="s">
        <v>7</v>
      </c>
      <c r="B10" s="25" t="s">
        <v>2</v>
      </c>
      <c r="C10" s="24" t="s">
        <v>175</v>
      </c>
      <c r="D10" s="24" t="s">
        <v>198</v>
      </c>
      <c r="E10" s="25" t="s">
        <v>202</v>
      </c>
      <c r="F10" s="25" t="s">
        <v>144</v>
      </c>
      <c r="G10" s="26" t="n">
        <v>23500</v>
      </c>
      <c r="H10" s="26" t="n">
        <v>0</v>
      </c>
      <c r="I10" s="26" t="n">
        <v>23500</v>
      </c>
      <c r="J10" s="25" t="s">
        <v>185</v>
      </c>
      <c r="K10" s="25" t="s">
        <v>190</v>
      </c>
      <c r="L10" s="24"/>
      <c r="M10" s="24" t="s">
        <v>196</v>
      </c>
      <c r="N10" s="26" t="n">
        <v>0</v>
      </c>
      <c r="O10" s="26" t="n">
        <v>0</v>
      </c>
      <c r="P10" s="26" t="n">
        <v>0</v>
      </c>
      <c r="Q10" s="25" t="s">
        <v>197</v>
      </c>
    </row>
    <row r="11" customFormat="false" ht="15" hidden="false" customHeight="false" outlineLevel="0" collapsed="false">
      <c r="A11" s="24" t="s">
        <v>7</v>
      </c>
      <c r="B11" s="25" t="s">
        <v>2</v>
      </c>
      <c r="C11" s="24" t="s">
        <v>175</v>
      </c>
      <c r="D11" s="24" t="s">
        <v>203</v>
      </c>
      <c r="E11" s="24" t="s">
        <v>204</v>
      </c>
      <c r="F11" s="25" t="s">
        <v>205</v>
      </c>
      <c r="G11" s="26" t="n">
        <v>37900</v>
      </c>
      <c r="H11" s="26" t="n">
        <v>0</v>
      </c>
      <c r="I11" s="26" t="n">
        <v>37900</v>
      </c>
      <c r="J11" s="25" t="s">
        <v>178</v>
      </c>
      <c r="K11" s="25" t="s">
        <v>179</v>
      </c>
      <c r="L11" s="25" t="s">
        <v>179</v>
      </c>
      <c r="M11" s="24" t="s">
        <v>186</v>
      </c>
      <c r="N11" s="26" t="n">
        <v>0</v>
      </c>
      <c r="O11" s="26" t="n">
        <v>900</v>
      </c>
      <c r="P11" s="26" t="n">
        <v>900</v>
      </c>
      <c r="Q11" s="25" t="s">
        <v>187</v>
      </c>
    </row>
    <row r="12" customFormat="false" ht="15" hidden="false" customHeight="false" outlineLevel="0" collapsed="false">
      <c r="A12" s="24" t="s">
        <v>7</v>
      </c>
      <c r="B12" s="25" t="s">
        <v>2</v>
      </c>
      <c r="C12" s="24" t="s">
        <v>175</v>
      </c>
      <c r="D12" s="24" t="s">
        <v>203</v>
      </c>
      <c r="E12" s="25" t="s">
        <v>206</v>
      </c>
      <c r="F12" s="25" t="s">
        <v>137</v>
      </c>
      <c r="G12" s="26" t="n">
        <v>50400</v>
      </c>
      <c r="H12" s="26" t="n">
        <v>0</v>
      </c>
      <c r="I12" s="26" t="n">
        <v>50400</v>
      </c>
      <c r="J12" s="25" t="s">
        <v>185</v>
      </c>
      <c r="K12" s="25" t="s">
        <v>180</v>
      </c>
      <c r="L12" s="25" t="s">
        <v>180</v>
      </c>
      <c r="M12" s="24" t="s">
        <v>186</v>
      </c>
      <c r="N12" s="26" t="n">
        <v>0</v>
      </c>
      <c r="O12" s="26" t="n">
        <v>1200</v>
      </c>
      <c r="P12" s="26" t="n">
        <v>1200</v>
      </c>
      <c r="Q12" s="25" t="s">
        <v>187</v>
      </c>
    </row>
    <row r="13" customFormat="false" ht="15" hidden="false" customHeight="false" outlineLevel="0" collapsed="false">
      <c r="A13" s="24" t="s">
        <v>7</v>
      </c>
      <c r="B13" s="25" t="s">
        <v>2</v>
      </c>
      <c r="C13" s="24" t="s">
        <v>175</v>
      </c>
      <c r="D13" s="24" t="s">
        <v>203</v>
      </c>
      <c r="E13" s="24" t="s">
        <v>207</v>
      </c>
      <c r="F13" s="25" t="s">
        <v>154</v>
      </c>
      <c r="G13" s="26" t="n">
        <v>13200</v>
      </c>
      <c r="H13" s="26" t="n">
        <v>0</v>
      </c>
      <c r="I13" s="26" t="n">
        <v>13200</v>
      </c>
      <c r="J13" s="25" t="s">
        <v>185</v>
      </c>
      <c r="K13" s="25" t="s">
        <v>190</v>
      </c>
      <c r="L13" s="25" t="s">
        <v>179</v>
      </c>
      <c r="M13" s="24" t="s">
        <v>181</v>
      </c>
      <c r="N13" s="26" t="n">
        <v>0</v>
      </c>
      <c r="O13" s="26" t="n">
        <v>300</v>
      </c>
      <c r="P13" s="26" t="n">
        <v>300</v>
      </c>
      <c r="Q13" s="25" t="s">
        <v>182</v>
      </c>
    </row>
    <row r="14" customFormat="false" ht="15" hidden="false" customHeight="false" outlineLevel="0" collapsed="false">
      <c r="A14" s="24" t="s">
        <v>7</v>
      </c>
      <c r="B14" s="25" t="s">
        <v>2</v>
      </c>
      <c r="C14" s="24" t="s">
        <v>175</v>
      </c>
      <c r="D14" s="24" t="s">
        <v>208</v>
      </c>
      <c r="E14" s="24" t="s">
        <v>209</v>
      </c>
      <c r="F14" s="25" t="s">
        <v>142</v>
      </c>
      <c r="G14" s="26" t="n">
        <v>54700</v>
      </c>
      <c r="H14" s="26" t="n">
        <v>0</v>
      </c>
      <c r="I14" s="26" t="n">
        <v>54700</v>
      </c>
      <c r="J14" s="25" t="s">
        <v>178</v>
      </c>
      <c r="K14" s="25" t="s">
        <v>179</v>
      </c>
      <c r="L14" s="25" t="s">
        <v>180</v>
      </c>
      <c r="M14" s="24" t="s">
        <v>181</v>
      </c>
      <c r="N14" s="26" t="n">
        <v>0</v>
      </c>
      <c r="O14" s="26" t="n">
        <v>1300</v>
      </c>
      <c r="P14" s="26" t="n">
        <v>1300</v>
      </c>
      <c r="Q14" s="25" t="s">
        <v>182</v>
      </c>
    </row>
    <row r="15" customFormat="false" ht="15" hidden="false" customHeight="false" outlineLevel="0" collapsed="false">
      <c r="A15" s="24" t="s">
        <v>7</v>
      </c>
      <c r="B15" s="25" t="s">
        <v>2</v>
      </c>
      <c r="C15" s="24" t="s">
        <v>175</v>
      </c>
      <c r="D15" s="24" t="s">
        <v>208</v>
      </c>
      <c r="E15" s="25" t="s">
        <v>210</v>
      </c>
      <c r="F15" s="25" t="s">
        <v>136</v>
      </c>
      <c r="G15" s="26" t="n">
        <v>72900</v>
      </c>
      <c r="H15" s="26" t="n">
        <v>0</v>
      </c>
      <c r="I15" s="26" t="n">
        <v>72900</v>
      </c>
      <c r="J15" s="25" t="s">
        <v>185</v>
      </c>
      <c r="K15" s="25" t="s">
        <v>180</v>
      </c>
      <c r="L15" s="25" t="s">
        <v>180</v>
      </c>
      <c r="M15" s="24" t="s">
        <v>186</v>
      </c>
      <c r="N15" s="26" t="n">
        <v>0</v>
      </c>
      <c r="O15" s="26" t="n">
        <v>1800</v>
      </c>
      <c r="P15" s="26" t="n">
        <v>1800</v>
      </c>
      <c r="Q15" s="25" t="s">
        <v>187</v>
      </c>
    </row>
    <row r="16" customFormat="false" ht="15" hidden="false" customHeight="false" outlineLevel="0" collapsed="false">
      <c r="A16" s="24" t="s">
        <v>7</v>
      </c>
      <c r="B16" s="25" t="s">
        <v>2</v>
      </c>
      <c r="C16" s="24" t="s">
        <v>175</v>
      </c>
      <c r="D16" s="24" t="s">
        <v>208</v>
      </c>
      <c r="E16" s="25" t="s">
        <v>211</v>
      </c>
      <c r="F16" s="25" t="s">
        <v>212</v>
      </c>
      <c r="G16" s="26" t="n">
        <v>19000</v>
      </c>
      <c r="H16" s="26" t="n">
        <v>0</v>
      </c>
      <c r="I16" s="26" t="n">
        <v>19000</v>
      </c>
      <c r="J16" s="25" t="s">
        <v>185</v>
      </c>
      <c r="K16" s="25" t="s">
        <v>190</v>
      </c>
      <c r="L16" s="25" t="s">
        <v>180</v>
      </c>
      <c r="M16" s="24" t="s">
        <v>181</v>
      </c>
      <c r="N16" s="26" t="n">
        <v>0</v>
      </c>
      <c r="O16" s="26" t="n">
        <v>500</v>
      </c>
      <c r="P16" s="26" t="n">
        <v>500</v>
      </c>
      <c r="Q16" s="25" t="s">
        <v>182</v>
      </c>
    </row>
    <row r="17" customFormat="false" ht="15" hidden="false" customHeight="false" outlineLevel="0" collapsed="false">
      <c r="A17" s="24" t="s">
        <v>7</v>
      </c>
      <c r="B17" s="25" t="s">
        <v>2</v>
      </c>
      <c r="C17" s="24" t="s">
        <v>175</v>
      </c>
      <c r="D17" s="24" t="s">
        <v>213</v>
      </c>
      <c r="E17" s="25" t="s">
        <v>214</v>
      </c>
      <c r="F17" s="25" t="s">
        <v>138</v>
      </c>
      <c r="G17" s="26" t="n">
        <v>50400</v>
      </c>
      <c r="H17" s="26" t="n">
        <v>0</v>
      </c>
      <c r="I17" s="26" t="n">
        <v>50400</v>
      </c>
      <c r="J17" s="25" t="s">
        <v>178</v>
      </c>
      <c r="K17" s="25" t="s">
        <v>179</v>
      </c>
      <c r="L17" s="25" t="s">
        <v>180</v>
      </c>
      <c r="M17" s="24" t="s">
        <v>181</v>
      </c>
      <c r="N17" s="26" t="n">
        <v>0</v>
      </c>
      <c r="O17" s="26" t="n">
        <v>1200</v>
      </c>
      <c r="P17" s="26" t="n">
        <v>1200</v>
      </c>
      <c r="Q17" s="25" t="s">
        <v>182</v>
      </c>
    </row>
    <row r="18" customFormat="false" ht="15" hidden="false" customHeight="false" outlineLevel="0" collapsed="false">
      <c r="A18" s="24" t="s">
        <v>7</v>
      </c>
      <c r="B18" s="25" t="s">
        <v>2</v>
      </c>
      <c r="C18" s="24" t="s">
        <v>175</v>
      </c>
      <c r="D18" s="24" t="s">
        <v>213</v>
      </c>
      <c r="E18" s="25" t="s">
        <v>215</v>
      </c>
      <c r="F18" s="25" t="s">
        <v>145</v>
      </c>
      <c r="G18" s="26" t="n">
        <v>67200</v>
      </c>
      <c r="H18" s="26" t="n">
        <v>0</v>
      </c>
      <c r="I18" s="26" t="n">
        <v>67200</v>
      </c>
      <c r="J18" s="25" t="s">
        <v>185</v>
      </c>
      <c r="K18" s="25" t="s">
        <v>180</v>
      </c>
      <c r="L18" s="25" t="s">
        <v>180</v>
      </c>
      <c r="M18" s="24" t="s">
        <v>186</v>
      </c>
      <c r="N18" s="26" t="n">
        <v>0</v>
      </c>
      <c r="O18" s="26" t="n">
        <v>1600</v>
      </c>
      <c r="P18" s="26" t="n">
        <v>1600</v>
      </c>
      <c r="Q18" s="25" t="s">
        <v>187</v>
      </c>
    </row>
    <row r="19" customFormat="false" ht="15" hidden="false" customHeight="false" outlineLevel="0" collapsed="false">
      <c r="A19" s="24" t="s">
        <v>7</v>
      </c>
      <c r="B19" s="25" t="s">
        <v>2</v>
      </c>
      <c r="C19" s="24" t="s">
        <v>175</v>
      </c>
      <c r="D19" s="24" t="s">
        <v>213</v>
      </c>
      <c r="E19" s="25" t="s">
        <v>216</v>
      </c>
      <c r="F19" s="25" t="s">
        <v>144</v>
      </c>
      <c r="G19" s="26" t="n">
        <v>17700</v>
      </c>
      <c r="H19" s="26" t="n">
        <v>0</v>
      </c>
      <c r="I19" s="26" t="n">
        <v>17700</v>
      </c>
      <c r="J19" s="25" t="s">
        <v>185</v>
      </c>
      <c r="K19" s="25" t="s">
        <v>190</v>
      </c>
      <c r="L19" s="25" t="s">
        <v>180</v>
      </c>
      <c r="M19" s="24" t="s">
        <v>181</v>
      </c>
      <c r="N19" s="26" t="n">
        <v>0</v>
      </c>
      <c r="O19" s="26" t="n">
        <v>400</v>
      </c>
      <c r="P19" s="26" t="n">
        <v>400</v>
      </c>
      <c r="Q19" s="25" t="s">
        <v>182</v>
      </c>
    </row>
    <row r="20" customFormat="false" ht="15" hidden="false" customHeight="false" outlineLevel="0" collapsed="false">
      <c r="A20" s="24" t="s">
        <v>7</v>
      </c>
      <c r="B20" s="25" t="s">
        <v>2</v>
      </c>
      <c r="C20" s="24" t="s">
        <v>175</v>
      </c>
      <c r="D20" s="24" t="s">
        <v>217</v>
      </c>
      <c r="E20" s="25" t="s">
        <v>48</v>
      </c>
      <c r="F20" s="25" t="s">
        <v>218</v>
      </c>
      <c r="G20" s="26" t="n">
        <v>63000</v>
      </c>
      <c r="H20" s="26" t="n">
        <v>3300</v>
      </c>
      <c r="I20" s="26" t="n">
        <v>59700</v>
      </c>
      <c r="J20" s="25" t="s">
        <v>178</v>
      </c>
      <c r="K20" s="25" t="s">
        <v>179</v>
      </c>
      <c r="L20" s="25" t="s">
        <v>179</v>
      </c>
      <c r="M20" s="24" t="s">
        <v>193</v>
      </c>
      <c r="N20" s="26" t="n">
        <v>3300</v>
      </c>
      <c r="O20" s="26" t="n">
        <v>3300</v>
      </c>
      <c r="P20" s="26" t="n">
        <v>0</v>
      </c>
      <c r="Q20" s="24"/>
    </row>
    <row r="21" customFormat="false" ht="15" hidden="false" customHeight="false" outlineLevel="0" collapsed="false">
      <c r="A21" s="24" t="s">
        <v>7</v>
      </c>
      <c r="B21" s="25" t="s">
        <v>2</v>
      </c>
      <c r="C21" s="24" t="s">
        <v>175</v>
      </c>
      <c r="D21" s="24" t="s">
        <v>217</v>
      </c>
      <c r="E21" s="25" t="s">
        <v>219</v>
      </c>
      <c r="F21" s="25" t="s">
        <v>137</v>
      </c>
      <c r="G21" s="26" t="n">
        <v>84000</v>
      </c>
      <c r="H21" s="26" t="n">
        <v>4500</v>
      </c>
      <c r="I21" s="26" t="n">
        <v>79500</v>
      </c>
      <c r="J21" s="25" t="s">
        <v>185</v>
      </c>
      <c r="K21" s="25" t="s">
        <v>180</v>
      </c>
      <c r="L21" s="25" t="s">
        <v>180</v>
      </c>
      <c r="M21" s="24" t="s">
        <v>193</v>
      </c>
      <c r="N21" s="26" t="n">
        <v>4500</v>
      </c>
      <c r="O21" s="26" t="n">
        <v>4500</v>
      </c>
      <c r="P21" s="26" t="n">
        <v>0</v>
      </c>
      <c r="Q21" s="24"/>
    </row>
    <row r="22" customFormat="false" ht="15" hidden="false" customHeight="false" outlineLevel="0" collapsed="false">
      <c r="A22" s="24" t="s">
        <v>7</v>
      </c>
      <c r="B22" s="25" t="s">
        <v>2</v>
      </c>
      <c r="C22" s="24" t="s">
        <v>175</v>
      </c>
      <c r="D22" s="24" t="s">
        <v>217</v>
      </c>
      <c r="E22" s="25" t="s">
        <v>220</v>
      </c>
      <c r="F22" s="25" t="s">
        <v>144</v>
      </c>
      <c r="G22" s="26" t="n">
        <v>22000</v>
      </c>
      <c r="H22" s="26" t="n">
        <v>0</v>
      </c>
      <c r="I22" s="26" t="n">
        <v>22000</v>
      </c>
      <c r="J22" s="25" t="s">
        <v>185</v>
      </c>
      <c r="K22" s="25" t="s">
        <v>190</v>
      </c>
      <c r="L22" s="25" t="s">
        <v>179</v>
      </c>
      <c r="M22" s="24" t="s">
        <v>181</v>
      </c>
      <c r="N22" s="26" t="n">
        <v>0</v>
      </c>
      <c r="O22" s="26" t="n">
        <v>500</v>
      </c>
      <c r="P22" s="26" t="n">
        <v>500</v>
      </c>
      <c r="Q22" s="25" t="s">
        <v>182</v>
      </c>
    </row>
    <row r="23" customFormat="false" ht="15" hidden="false" customHeight="false" outlineLevel="0" collapsed="false">
      <c r="A23" s="24" t="s">
        <v>7</v>
      </c>
      <c r="B23" s="25" t="s">
        <v>2</v>
      </c>
      <c r="C23" s="24" t="s">
        <v>175</v>
      </c>
      <c r="D23" s="24" t="s">
        <v>221</v>
      </c>
      <c r="E23" s="25" t="s">
        <v>222</v>
      </c>
      <c r="F23" s="25" t="s">
        <v>137</v>
      </c>
      <c r="G23" s="26" t="n">
        <v>42000</v>
      </c>
      <c r="H23" s="26" t="n">
        <v>0</v>
      </c>
      <c r="I23" s="26" t="n">
        <v>42000</v>
      </c>
      <c r="J23" s="25" t="s">
        <v>178</v>
      </c>
      <c r="K23" s="25" t="s">
        <v>179</v>
      </c>
      <c r="L23" s="25" t="s">
        <v>180</v>
      </c>
      <c r="M23" s="24" t="s">
        <v>181</v>
      </c>
      <c r="N23" s="26" t="n">
        <v>0</v>
      </c>
      <c r="O23" s="26" t="n">
        <v>1000</v>
      </c>
      <c r="P23" s="26" t="n">
        <v>1000</v>
      </c>
      <c r="Q23" s="25" t="s">
        <v>182</v>
      </c>
    </row>
    <row r="24" customFormat="false" ht="15" hidden="false" customHeight="false" outlineLevel="0" collapsed="false">
      <c r="A24" s="24" t="s">
        <v>7</v>
      </c>
      <c r="B24" s="25" t="s">
        <v>2</v>
      </c>
      <c r="C24" s="24" t="s">
        <v>175</v>
      </c>
      <c r="D24" s="24" t="s">
        <v>221</v>
      </c>
      <c r="E24" s="25" t="s">
        <v>223</v>
      </c>
      <c r="F24" s="25" t="s">
        <v>189</v>
      </c>
      <c r="G24" s="26" t="n">
        <v>56000</v>
      </c>
      <c r="H24" s="26" t="n">
        <v>0</v>
      </c>
      <c r="I24" s="26" t="n">
        <v>56000</v>
      </c>
      <c r="J24" s="25" t="s">
        <v>185</v>
      </c>
      <c r="K24" s="25" t="s">
        <v>180</v>
      </c>
      <c r="L24" s="25" t="s">
        <v>180</v>
      </c>
      <c r="M24" s="24" t="s">
        <v>186</v>
      </c>
      <c r="N24" s="26" t="n">
        <v>0</v>
      </c>
      <c r="O24" s="26" t="n">
        <v>1400</v>
      </c>
      <c r="P24" s="26" t="n">
        <v>1400</v>
      </c>
      <c r="Q24" s="25" t="s">
        <v>187</v>
      </c>
    </row>
    <row r="25" customFormat="false" ht="15" hidden="false" customHeight="false" outlineLevel="0" collapsed="false">
      <c r="A25" s="24" t="s">
        <v>7</v>
      </c>
      <c r="B25" s="25" t="s">
        <v>2</v>
      </c>
      <c r="C25" s="24" t="s">
        <v>175</v>
      </c>
      <c r="D25" s="24" t="s">
        <v>221</v>
      </c>
      <c r="E25" s="25" t="s">
        <v>224</v>
      </c>
      <c r="F25" s="25" t="s">
        <v>189</v>
      </c>
      <c r="G25" s="26" t="n">
        <v>14700</v>
      </c>
      <c r="H25" s="26" t="n">
        <v>0</v>
      </c>
      <c r="I25" s="26" t="n">
        <v>14700</v>
      </c>
      <c r="J25" s="25" t="s">
        <v>185</v>
      </c>
      <c r="K25" s="25" t="s">
        <v>190</v>
      </c>
      <c r="L25" s="25" t="s">
        <v>180</v>
      </c>
      <c r="M25" s="24" t="s">
        <v>181</v>
      </c>
      <c r="N25" s="26" t="n">
        <v>0</v>
      </c>
      <c r="O25" s="26" t="n">
        <v>400</v>
      </c>
      <c r="P25" s="26" t="n">
        <v>400</v>
      </c>
      <c r="Q25" s="25" t="s">
        <v>182</v>
      </c>
    </row>
    <row r="26" customFormat="false" ht="15" hidden="false" customHeight="false" outlineLevel="0" collapsed="false">
      <c r="A26" s="24" t="s">
        <v>7</v>
      </c>
      <c r="B26" s="25" t="s">
        <v>2</v>
      </c>
      <c r="C26" s="24" t="s">
        <v>225</v>
      </c>
      <c r="D26" s="24" t="s">
        <v>226</v>
      </c>
      <c r="E26" s="25" t="s">
        <v>199</v>
      </c>
      <c r="F26" s="25" t="s">
        <v>200</v>
      </c>
      <c r="G26" s="26" t="n">
        <v>9200</v>
      </c>
      <c r="H26" s="26" t="n">
        <v>0</v>
      </c>
      <c r="I26" s="26" t="n">
        <v>9200</v>
      </c>
      <c r="J26" s="25" t="s">
        <v>178</v>
      </c>
      <c r="K26" s="25" t="s">
        <v>179</v>
      </c>
      <c r="L26" s="25" t="s">
        <v>180</v>
      </c>
      <c r="M26" s="24" t="s">
        <v>181</v>
      </c>
      <c r="N26" s="26" t="n">
        <v>0</v>
      </c>
      <c r="O26" s="26" t="n">
        <v>600</v>
      </c>
      <c r="P26" s="26" t="n">
        <v>600</v>
      </c>
      <c r="Q26" s="25" t="s">
        <v>182</v>
      </c>
    </row>
    <row r="27" customFormat="false" ht="15" hidden="false" customHeight="false" outlineLevel="0" collapsed="false">
      <c r="A27" s="24" t="s">
        <v>7</v>
      </c>
      <c r="B27" s="25" t="s">
        <v>2</v>
      </c>
      <c r="C27" s="24" t="s">
        <v>225</v>
      </c>
      <c r="D27" s="24" t="s">
        <v>227</v>
      </c>
      <c r="E27" s="25" t="s">
        <v>214</v>
      </c>
      <c r="F27" s="25" t="s">
        <v>138</v>
      </c>
      <c r="G27" s="26" t="n">
        <v>4500</v>
      </c>
      <c r="H27" s="26" t="n">
        <v>0</v>
      </c>
      <c r="I27" s="26" t="n">
        <v>4500</v>
      </c>
      <c r="J27" s="25" t="s">
        <v>178</v>
      </c>
      <c r="K27" s="25" t="s">
        <v>179</v>
      </c>
      <c r="L27" s="25" t="s">
        <v>180</v>
      </c>
      <c r="M27" s="24" t="s">
        <v>181</v>
      </c>
      <c r="N27" s="26" t="n">
        <v>0</v>
      </c>
      <c r="O27" s="26" t="n">
        <v>300</v>
      </c>
      <c r="P27" s="26" t="n">
        <v>300</v>
      </c>
      <c r="Q27" s="25" t="s">
        <v>182</v>
      </c>
    </row>
    <row r="28" customFormat="false" ht="15" hidden="false" customHeight="false" outlineLevel="0" collapsed="false">
      <c r="A28" s="24" t="s">
        <v>7</v>
      </c>
      <c r="B28" s="25" t="s">
        <v>2</v>
      </c>
      <c r="C28" s="24" t="s">
        <v>225</v>
      </c>
      <c r="D28" s="24" t="s">
        <v>228</v>
      </c>
      <c r="E28" s="25" t="s">
        <v>188</v>
      </c>
      <c r="F28" s="25" t="s">
        <v>189</v>
      </c>
      <c r="G28" s="26" t="n">
        <v>2800</v>
      </c>
      <c r="H28" s="26" t="n">
        <v>0</v>
      </c>
      <c r="I28" s="26" t="n">
        <v>2800</v>
      </c>
      <c r="J28" s="25" t="s">
        <v>185</v>
      </c>
      <c r="K28" s="25" t="s">
        <v>180</v>
      </c>
      <c r="L28" s="25" t="s">
        <v>180</v>
      </c>
      <c r="M28" s="24" t="s">
        <v>186</v>
      </c>
      <c r="N28" s="26" t="n">
        <v>0</v>
      </c>
      <c r="O28" s="26" t="n">
        <v>200</v>
      </c>
      <c r="P28" s="26" t="n">
        <v>200</v>
      </c>
      <c r="Q28" s="25" t="s">
        <v>187</v>
      </c>
    </row>
    <row r="29" customFormat="false" ht="15" hidden="false" customHeight="false" outlineLevel="0" collapsed="false">
      <c r="A29" s="24" t="s">
        <v>7</v>
      </c>
      <c r="B29" s="25" t="s">
        <v>2</v>
      </c>
      <c r="C29" s="24" t="s">
        <v>225</v>
      </c>
      <c r="D29" s="24" t="s">
        <v>229</v>
      </c>
      <c r="E29" s="25" t="s">
        <v>230</v>
      </c>
      <c r="F29" s="25" t="s">
        <v>139</v>
      </c>
      <c r="G29" s="26" t="n">
        <v>545700</v>
      </c>
      <c r="H29" s="26" t="n">
        <v>0</v>
      </c>
      <c r="I29" s="26" t="n">
        <v>545700</v>
      </c>
      <c r="J29" s="25" t="s">
        <v>178</v>
      </c>
      <c r="K29" s="25" t="s">
        <v>179</v>
      </c>
      <c r="L29" s="24"/>
      <c r="M29" s="24" t="s">
        <v>196</v>
      </c>
      <c r="N29" s="26" t="n">
        <v>0</v>
      </c>
      <c r="O29" s="26" t="n">
        <v>0</v>
      </c>
      <c r="P29" s="26" t="n">
        <v>0</v>
      </c>
      <c r="Q29" s="25" t="s">
        <v>197</v>
      </c>
    </row>
    <row r="30" customFormat="false" ht="15" hidden="false" customHeight="false" outlineLevel="0" collapsed="false">
      <c r="A30" s="24" t="s">
        <v>7</v>
      </c>
      <c r="B30" s="25" t="s">
        <v>2</v>
      </c>
      <c r="C30" s="24" t="s">
        <v>225</v>
      </c>
      <c r="D30" s="24" t="s">
        <v>231</v>
      </c>
      <c r="E30" s="25" t="s">
        <v>48</v>
      </c>
      <c r="F30" s="25" t="s">
        <v>218</v>
      </c>
      <c r="G30" s="26" t="n">
        <v>10600</v>
      </c>
      <c r="H30" s="26" t="n">
        <v>0</v>
      </c>
      <c r="I30" s="26" t="n">
        <v>10600</v>
      </c>
      <c r="J30" s="25" t="s">
        <v>185</v>
      </c>
      <c r="K30" s="25" t="s">
        <v>180</v>
      </c>
      <c r="L30" s="25" t="s">
        <v>180</v>
      </c>
      <c r="M30" s="24" t="s">
        <v>186</v>
      </c>
      <c r="N30" s="26" t="n">
        <v>0</v>
      </c>
      <c r="O30" s="26" t="n">
        <v>600</v>
      </c>
      <c r="P30" s="26" t="n">
        <v>600</v>
      </c>
      <c r="Q30" s="25" t="s">
        <v>187</v>
      </c>
    </row>
    <row r="31" customFormat="false" ht="15" hidden="false" customHeight="false" outlineLevel="0" collapsed="false">
      <c r="A31" s="24" t="s">
        <v>7</v>
      </c>
      <c r="B31" s="25" t="s">
        <v>2</v>
      </c>
      <c r="C31" s="24" t="s">
        <v>225</v>
      </c>
      <c r="D31" s="24" t="s">
        <v>232</v>
      </c>
      <c r="E31" s="25" t="s">
        <v>223</v>
      </c>
      <c r="F31" s="25" t="s">
        <v>189</v>
      </c>
      <c r="G31" s="26" t="n">
        <v>2400</v>
      </c>
      <c r="H31" s="26" t="n">
        <v>200</v>
      </c>
      <c r="I31" s="26" t="n">
        <v>2200</v>
      </c>
      <c r="J31" s="25" t="s">
        <v>185</v>
      </c>
      <c r="K31" s="25" t="s">
        <v>180</v>
      </c>
      <c r="L31" s="25" t="s">
        <v>180</v>
      </c>
      <c r="M31" s="24" t="s">
        <v>193</v>
      </c>
      <c r="N31" s="26" t="n">
        <v>200</v>
      </c>
      <c r="O31" s="26" t="n">
        <v>200</v>
      </c>
      <c r="P31" s="26" t="n">
        <v>0</v>
      </c>
      <c r="Q31" s="24"/>
    </row>
    <row r="32" customFormat="false" ht="15" hidden="false" customHeight="false" outlineLevel="0" collapsed="false">
      <c r="A32" s="24" t="s">
        <v>7</v>
      </c>
      <c r="B32" s="25" t="s">
        <v>2</v>
      </c>
      <c r="C32" s="24" t="s">
        <v>225</v>
      </c>
      <c r="D32" s="24" t="s">
        <v>233</v>
      </c>
      <c r="E32" s="25" t="s">
        <v>234</v>
      </c>
      <c r="F32" s="25" t="s">
        <v>146</v>
      </c>
      <c r="G32" s="26" t="n">
        <v>22100</v>
      </c>
      <c r="H32" s="26" t="n">
        <v>2100</v>
      </c>
      <c r="I32" s="26" t="n">
        <v>20000</v>
      </c>
      <c r="J32" s="25" t="s">
        <v>185</v>
      </c>
      <c r="K32" s="25" t="s">
        <v>180</v>
      </c>
      <c r="L32" s="25" t="s">
        <v>180</v>
      </c>
      <c r="M32" s="24" t="s">
        <v>193</v>
      </c>
      <c r="N32" s="26" t="n">
        <v>2100</v>
      </c>
      <c r="O32" s="26" t="n">
        <v>2100</v>
      </c>
      <c r="P32" s="26" t="n">
        <v>0</v>
      </c>
      <c r="Q32" s="24"/>
    </row>
    <row r="33" customFormat="false" ht="15" hidden="false" customHeight="false" outlineLevel="0" collapsed="false">
      <c r="A33" s="24" t="s">
        <v>7</v>
      </c>
      <c r="B33" s="25" t="s">
        <v>2</v>
      </c>
      <c r="C33" s="24" t="s">
        <v>225</v>
      </c>
      <c r="D33" s="24" t="s">
        <v>235</v>
      </c>
      <c r="E33" s="25" t="s">
        <v>194</v>
      </c>
      <c r="F33" s="25" t="s">
        <v>145</v>
      </c>
      <c r="G33" s="26" t="n">
        <v>4900</v>
      </c>
      <c r="H33" s="26" t="n">
        <v>500</v>
      </c>
      <c r="I33" s="26" t="n">
        <v>4400</v>
      </c>
      <c r="J33" s="25" t="s">
        <v>185</v>
      </c>
      <c r="K33" s="25" t="s">
        <v>180</v>
      </c>
      <c r="L33" s="25" t="s">
        <v>180</v>
      </c>
      <c r="M33" s="24" t="s">
        <v>193</v>
      </c>
      <c r="N33" s="26" t="n">
        <v>500</v>
      </c>
      <c r="O33" s="26" t="n">
        <v>500</v>
      </c>
      <c r="P33" s="26" t="n">
        <v>0</v>
      </c>
      <c r="Q33" s="24"/>
    </row>
    <row r="34" customFormat="false" ht="15" hidden="false" customHeight="false" outlineLevel="0" collapsed="false">
      <c r="A34" s="24" t="s">
        <v>7</v>
      </c>
      <c r="B34" s="25" t="s">
        <v>2</v>
      </c>
      <c r="C34" s="24" t="s">
        <v>225</v>
      </c>
      <c r="D34" s="24" t="s">
        <v>236</v>
      </c>
      <c r="E34" s="25" t="s">
        <v>195</v>
      </c>
      <c r="F34" s="25" t="s">
        <v>144</v>
      </c>
      <c r="G34" s="26" t="n">
        <v>2400</v>
      </c>
      <c r="H34" s="26" t="n">
        <v>0</v>
      </c>
      <c r="I34" s="26" t="n">
        <v>2400</v>
      </c>
      <c r="J34" s="25" t="s">
        <v>178</v>
      </c>
      <c r="K34" s="25" t="s">
        <v>179</v>
      </c>
      <c r="L34" s="25" t="s">
        <v>180</v>
      </c>
      <c r="M34" s="24" t="s">
        <v>181</v>
      </c>
      <c r="N34" s="26" t="n">
        <v>0</v>
      </c>
      <c r="O34" s="26" t="n">
        <v>100</v>
      </c>
      <c r="P34" s="26" t="n">
        <v>100</v>
      </c>
      <c r="Q34" s="25" t="s">
        <v>182</v>
      </c>
    </row>
    <row r="35" customFormat="false" ht="15" hidden="false" customHeight="false" outlineLevel="0" collapsed="false">
      <c r="A35" s="24" t="s">
        <v>7</v>
      </c>
      <c r="B35" s="25" t="s">
        <v>2</v>
      </c>
      <c r="C35" s="24" t="s">
        <v>225</v>
      </c>
      <c r="D35" s="24" t="s">
        <v>237</v>
      </c>
      <c r="E35" s="25" t="s">
        <v>224</v>
      </c>
      <c r="F35" s="25" t="s">
        <v>189</v>
      </c>
      <c r="G35" s="26" t="n">
        <v>3600</v>
      </c>
      <c r="H35" s="26" t="n">
        <v>0</v>
      </c>
      <c r="I35" s="26" t="n">
        <v>3600</v>
      </c>
      <c r="J35" s="25" t="s">
        <v>185</v>
      </c>
      <c r="K35" s="25" t="s">
        <v>180</v>
      </c>
      <c r="L35" s="25" t="s">
        <v>180</v>
      </c>
      <c r="M35" s="24" t="s">
        <v>186</v>
      </c>
      <c r="N35" s="26" t="n">
        <v>0</v>
      </c>
      <c r="O35" s="26" t="n">
        <v>200</v>
      </c>
      <c r="P35" s="26" t="n">
        <v>200</v>
      </c>
      <c r="Q35" s="25" t="s">
        <v>187</v>
      </c>
    </row>
    <row r="36" customFormat="false" ht="15" hidden="false" customHeight="false" outlineLevel="0" collapsed="false">
      <c r="A36" s="24" t="s">
        <v>7</v>
      </c>
      <c r="B36" s="25" t="s">
        <v>2</v>
      </c>
      <c r="C36" s="24" t="s">
        <v>225</v>
      </c>
      <c r="D36" s="24" t="s">
        <v>238</v>
      </c>
      <c r="E36" s="25" t="s">
        <v>239</v>
      </c>
      <c r="F36" s="25" t="s">
        <v>151</v>
      </c>
      <c r="G36" s="26" t="n">
        <v>71300</v>
      </c>
      <c r="H36" s="26" t="n">
        <v>0</v>
      </c>
      <c r="I36" s="26" t="n">
        <v>71300</v>
      </c>
      <c r="J36" s="25" t="s">
        <v>185</v>
      </c>
      <c r="K36" s="25" t="s">
        <v>180</v>
      </c>
      <c r="L36" s="24"/>
      <c r="M36" s="24" t="s">
        <v>196</v>
      </c>
      <c r="N36" s="26" t="n">
        <v>0</v>
      </c>
      <c r="O36" s="26" t="n">
        <v>0</v>
      </c>
      <c r="P36" s="26" t="n">
        <v>0</v>
      </c>
      <c r="Q36" s="25" t="s">
        <v>197</v>
      </c>
    </row>
    <row r="37" customFormat="false" ht="15" hidden="false" customHeight="false" outlineLevel="0" collapsed="false">
      <c r="A37" s="24" t="s">
        <v>7</v>
      </c>
      <c r="B37" s="25" t="s">
        <v>2</v>
      </c>
      <c r="C37" s="24" t="s">
        <v>225</v>
      </c>
      <c r="D37" s="24" t="s">
        <v>240</v>
      </c>
      <c r="E37" s="25" t="s">
        <v>241</v>
      </c>
      <c r="F37" s="25" t="s">
        <v>200</v>
      </c>
      <c r="G37" s="26" t="n">
        <v>20800</v>
      </c>
      <c r="H37" s="26" t="n">
        <v>0</v>
      </c>
      <c r="I37" s="26" t="n">
        <v>20800</v>
      </c>
      <c r="J37" s="25" t="s">
        <v>185</v>
      </c>
      <c r="K37" s="25" t="s">
        <v>180</v>
      </c>
      <c r="L37" s="25" t="s">
        <v>179</v>
      </c>
      <c r="M37" s="24" t="s">
        <v>181</v>
      </c>
      <c r="N37" s="26" t="n">
        <v>0</v>
      </c>
      <c r="O37" s="26" t="n">
        <v>1300</v>
      </c>
      <c r="P37" s="26" t="n">
        <v>1300</v>
      </c>
      <c r="Q37" s="25" t="s">
        <v>182</v>
      </c>
    </row>
    <row r="38" customFormat="false" ht="15" hidden="false" customHeight="false" outlineLevel="0" collapsed="false">
      <c r="A38" s="24" t="s">
        <v>7</v>
      </c>
      <c r="B38" s="25" t="s">
        <v>2</v>
      </c>
      <c r="C38" s="24" t="s">
        <v>225</v>
      </c>
      <c r="D38" s="24" t="s">
        <v>242</v>
      </c>
      <c r="E38" s="25" t="s">
        <v>206</v>
      </c>
      <c r="F38" s="25" t="s">
        <v>137</v>
      </c>
      <c r="G38" s="26" t="n">
        <v>9000</v>
      </c>
      <c r="H38" s="26" t="n">
        <v>0</v>
      </c>
      <c r="I38" s="26" t="n">
        <v>9000</v>
      </c>
      <c r="J38" s="25" t="s">
        <v>185</v>
      </c>
      <c r="K38" s="25" t="s">
        <v>180</v>
      </c>
      <c r="L38" s="25" t="s">
        <v>180</v>
      </c>
      <c r="M38" s="24" t="s">
        <v>186</v>
      </c>
      <c r="N38" s="26" t="n">
        <v>0</v>
      </c>
      <c r="O38" s="26" t="n">
        <v>600</v>
      </c>
      <c r="P38" s="26" t="n">
        <v>600</v>
      </c>
      <c r="Q38" s="25" t="s">
        <v>187</v>
      </c>
    </row>
    <row r="39" customFormat="false" ht="15" hidden="false" customHeight="false" outlineLevel="0" collapsed="false">
      <c r="A39" s="24" t="s">
        <v>7</v>
      </c>
      <c r="B39" s="25" t="s">
        <v>2</v>
      </c>
      <c r="C39" s="24" t="s">
        <v>225</v>
      </c>
      <c r="D39" s="24" t="s">
        <v>243</v>
      </c>
      <c r="E39" s="24" t="s">
        <v>207</v>
      </c>
      <c r="F39" s="25" t="s">
        <v>154</v>
      </c>
      <c r="G39" s="26" t="n">
        <v>3800</v>
      </c>
      <c r="H39" s="26" t="n">
        <v>400</v>
      </c>
      <c r="I39" s="26" t="n">
        <v>3400</v>
      </c>
      <c r="J39" s="25" t="s">
        <v>178</v>
      </c>
      <c r="K39" s="25" t="s">
        <v>179</v>
      </c>
      <c r="L39" s="25" t="s">
        <v>179</v>
      </c>
      <c r="M39" s="24" t="s">
        <v>193</v>
      </c>
      <c r="N39" s="26" t="n">
        <v>400</v>
      </c>
      <c r="O39" s="26" t="n">
        <v>400</v>
      </c>
      <c r="P39" s="26" t="n">
        <v>0</v>
      </c>
      <c r="Q39" s="24"/>
    </row>
    <row r="40" customFormat="false" ht="15" hidden="false" customHeight="false" outlineLevel="0" collapsed="false">
      <c r="A40" s="24" t="s">
        <v>7</v>
      </c>
      <c r="B40" s="25" t="s">
        <v>2</v>
      </c>
      <c r="C40" s="24" t="s">
        <v>225</v>
      </c>
      <c r="D40" s="24" t="s">
        <v>244</v>
      </c>
      <c r="E40" s="24" t="s">
        <v>209</v>
      </c>
      <c r="F40" s="25" t="s">
        <v>142</v>
      </c>
      <c r="G40" s="26" t="n">
        <v>30700</v>
      </c>
      <c r="H40" s="26" t="n">
        <v>3000</v>
      </c>
      <c r="I40" s="26" t="n">
        <v>27700</v>
      </c>
      <c r="J40" s="25" t="s">
        <v>185</v>
      </c>
      <c r="K40" s="25" t="s">
        <v>180</v>
      </c>
      <c r="L40" s="25" t="s">
        <v>180</v>
      </c>
      <c r="M40" s="24" t="s">
        <v>193</v>
      </c>
      <c r="N40" s="26" t="n">
        <v>3000</v>
      </c>
      <c r="O40" s="26" t="n">
        <v>3000</v>
      </c>
      <c r="P40" s="26" t="n">
        <v>0</v>
      </c>
      <c r="Q40" s="24"/>
    </row>
    <row r="41" customFormat="false" ht="15" hidden="false" customHeight="false" outlineLevel="0" collapsed="false">
      <c r="A41" s="24" t="s">
        <v>7</v>
      </c>
      <c r="B41" s="25" t="s">
        <v>2</v>
      </c>
      <c r="C41" s="24" t="s">
        <v>225</v>
      </c>
      <c r="D41" s="24" t="s">
        <v>245</v>
      </c>
      <c r="E41" s="25" t="s">
        <v>192</v>
      </c>
      <c r="F41" s="25" t="s">
        <v>147</v>
      </c>
      <c r="G41" s="26" t="n">
        <v>9200</v>
      </c>
      <c r="H41" s="26" t="n">
        <v>0</v>
      </c>
      <c r="I41" s="26" t="n">
        <v>9200</v>
      </c>
      <c r="J41" s="25" t="s">
        <v>178</v>
      </c>
      <c r="K41" s="25" t="s">
        <v>179</v>
      </c>
      <c r="L41" s="25" t="s">
        <v>180</v>
      </c>
      <c r="M41" s="24" t="s">
        <v>181</v>
      </c>
      <c r="N41" s="26" t="n">
        <v>0</v>
      </c>
      <c r="O41" s="26" t="n">
        <v>600</v>
      </c>
      <c r="P41" s="26" t="n">
        <v>600</v>
      </c>
      <c r="Q41" s="25" t="s">
        <v>182</v>
      </c>
    </row>
    <row r="42" customFormat="false" ht="15" hidden="false" customHeight="false" outlineLevel="0" collapsed="false">
      <c r="A42" s="24" t="s">
        <v>7</v>
      </c>
      <c r="B42" s="25" t="s">
        <v>2</v>
      </c>
      <c r="C42" s="24" t="s">
        <v>225</v>
      </c>
      <c r="D42" s="24" t="s">
        <v>246</v>
      </c>
      <c r="E42" s="25" t="s">
        <v>202</v>
      </c>
      <c r="F42" s="25" t="s">
        <v>144</v>
      </c>
      <c r="G42" s="26" t="n">
        <v>2000</v>
      </c>
      <c r="H42" s="26" t="n">
        <v>0</v>
      </c>
      <c r="I42" s="26" t="n">
        <v>2000</v>
      </c>
      <c r="J42" s="25" t="s">
        <v>185</v>
      </c>
      <c r="K42" s="25" t="s">
        <v>180</v>
      </c>
      <c r="L42" s="25" t="s">
        <v>180</v>
      </c>
      <c r="M42" s="24" t="s">
        <v>186</v>
      </c>
      <c r="N42" s="26" t="n">
        <v>0</v>
      </c>
      <c r="O42" s="26" t="n">
        <v>100</v>
      </c>
      <c r="P42" s="26" t="n">
        <v>100</v>
      </c>
      <c r="Q42" s="25" t="s">
        <v>187</v>
      </c>
    </row>
    <row r="43" customFormat="false" ht="15" hidden="false" customHeight="false" outlineLevel="0" collapsed="false">
      <c r="A43" s="24" t="s">
        <v>7</v>
      </c>
      <c r="B43" s="25" t="s">
        <v>2</v>
      </c>
      <c r="C43" s="24" t="s">
        <v>225</v>
      </c>
      <c r="D43" s="24" t="s">
        <v>247</v>
      </c>
      <c r="E43" s="25" t="s">
        <v>219</v>
      </c>
      <c r="F43" s="25" t="s">
        <v>137</v>
      </c>
      <c r="G43" s="26" t="n">
        <v>7900</v>
      </c>
      <c r="H43" s="26" t="n">
        <v>0</v>
      </c>
      <c r="I43" s="26" t="n">
        <v>7900</v>
      </c>
      <c r="J43" s="25" t="s">
        <v>185</v>
      </c>
      <c r="K43" s="25" t="s">
        <v>180</v>
      </c>
      <c r="L43" s="25" t="s">
        <v>180</v>
      </c>
      <c r="M43" s="24" t="s">
        <v>186</v>
      </c>
      <c r="N43" s="26" t="n">
        <v>0</v>
      </c>
      <c r="O43" s="26" t="n">
        <v>500</v>
      </c>
      <c r="P43" s="26" t="n">
        <v>500</v>
      </c>
      <c r="Q43" s="25" t="s">
        <v>187</v>
      </c>
    </row>
    <row r="44" customFormat="false" ht="15" hidden="false" customHeight="false" outlineLevel="0" collapsed="false">
      <c r="A44" s="24" t="s">
        <v>7</v>
      </c>
      <c r="B44" s="25" t="s">
        <v>2</v>
      </c>
      <c r="C44" s="24" t="s">
        <v>225</v>
      </c>
      <c r="D44" s="24" t="s">
        <v>248</v>
      </c>
      <c r="E44" s="25" t="s">
        <v>222</v>
      </c>
      <c r="F44" s="25" t="s">
        <v>137</v>
      </c>
      <c r="G44" s="26" t="n">
        <v>6200</v>
      </c>
      <c r="H44" s="26" t="n">
        <v>600</v>
      </c>
      <c r="I44" s="26" t="n">
        <v>5600</v>
      </c>
      <c r="J44" s="25" t="s">
        <v>185</v>
      </c>
      <c r="K44" s="25" t="s">
        <v>180</v>
      </c>
      <c r="L44" s="25" t="s">
        <v>180</v>
      </c>
      <c r="M44" s="24" t="s">
        <v>193</v>
      </c>
      <c r="N44" s="26" t="n">
        <v>600</v>
      </c>
      <c r="O44" s="26" t="n">
        <v>600</v>
      </c>
      <c r="P44" s="26" t="n">
        <v>0</v>
      </c>
      <c r="Q44" s="24"/>
    </row>
    <row r="45" customFormat="false" ht="15" hidden="false" customHeight="false" outlineLevel="0" collapsed="false">
      <c r="A45" s="24" t="s">
        <v>7</v>
      </c>
      <c r="B45" s="25" t="s">
        <v>2</v>
      </c>
      <c r="C45" s="24" t="s">
        <v>225</v>
      </c>
      <c r="D45" s="24" t="s">
        <v>249</v>
      </c>
      <c r="E45" s="25" t="s">
        <v>250</v>
      </c>
      <c r="F45" s="25" t="s">
        <v>251</v>
      </c>
      <c r="G45" s="26" t="n">
        <v>55400</v>
      </c>
      <c r="H45" s="26" t="n">
        <v>0</v>
      </c>
      <c r="I45" s="26" t="n">
        <v>55400</v>
      </c>
      <c r="J45" s="25" t="s">
        <v>185</v>
      </c>
      <c r="K45" s="25" t="s">
        <v>190</v>
      </c>
      <c r="L45" s="24"/>
      <c r="M45" s="24" t="s">
        <v>196</v>
      </c>
      <c r="N45" s="26" t="n">
        <v>0</v>
      </c>
      <c r="O45" s="26" t="n">
        <v>0</v>
      </c>
      <c r="P45" s="26" t="n">
        <v>0</v>
      </c>
      <c r="Q45" s="25" t="s">
        <v>197</v>
      </c>
    </row>
    <row r="46" customFormat="false" ht="15" hidden="false" customHeight="false" outlineLevel="0" collapsed="false">
      <c r="A46" s="24" t="s">
        <v>7</v>
      </c>
      <c r="B46" s="25" t="s">
        <v>2</v>
      </c>
      <c r="C46" s="24" t="s">
        <v>225</v>
      </c>
      <c r="D46" s="24" t="s">
        <v>252</v>
      </c>
      <c r="E46" s="24" t="s">
        <v>253</v>
      </c>
      <c r="F46" s="25" t="s">
        <v>153</v>
      </c>
      <c r="G46" s="26" t="n">
        <v>45400</v>
      </c>
      <c r="H46" s="26" t="n">
        <v>0</v>
      </c>
      <c r="I46" s="26" t="n">
        <v>45400</v>
      </c>
      <c r="J46" s="25" t="s">
        <v>185</v>
      </c>
      <c r="K46" s="25" t="s">
        <v>190</v>
      </c>
      <c r="L46" s="25" t="s">
        <v>179</v>
      </c>
      <c r="M46" s="24" t="s">
        <v>181</v>
      </c>
      <c r="N46" s="26" t="n">
        <v>0</v>
      </c>
      <c r="O46" s="26" t="n">
        <v>2700</v>
      </c>
      <c r="P46" s="26" t="n">
        <v>2700</v>
      </c>
      <c r="Q46" s="25" t="s">
        <v>182</v>
      </c>
    </row>
    <row r="47" customFormat="false" ht="15" hidden="false" customHeight="false" outlineLevel="0" collapsed="false">
      <c r="A47" s="24" t="s">
        <v>7</v>
      </c>
      <c r="B47" s="25" t="s">
        <v>2</v>
      </c>
      <c r="C47" s="24" t="s">
        <v>225</v>
      </c>
      <c r="D47" s="24" t="s">
        <v>254</v>
      </c>
      <c r="E47" s="25" t="s">
        <v>255</v>
      </c>
      <c r="F47" s="25" t="s">
        <v>156</v>
      </c>
      <c r="G47" s="26" t="n">
        <v>2600</v>
      </c>
      <c r="H47" s="26" t="n">
        <v>0</v>
      </c>
      <c r="I47" s="26" t="n">
        <v>2600</v>
      </c>
      <c r="J47" s="25" t="s">
        <v>178</v>
      </c>
      <c r="K47" s="25" t="s">
        <v>179</v>
      </c>
      <c r="L47" s="25" t="s">
        <v>180</v>
      </c>
      <c r="M47" s="24" t="s">
        <v>181</v>
      </c>
      <c r="N47" s="26" t="n">
        <v>0</v>
      </c>
      <c r="O47" s="26" t="n">
        <v>200</v>
      </c>
      <c r="P47" s="26" t="n">
        <v>200</v>
      </c>
      <c r="Q47" s="25" t="s">
        <v>182</v>
      </c>
    </row>
    <row r="48" customFormat="false" ht="15" hidden="false" customHeight="false" outlineLevel="0" collapsed="false">
      <c r="A48" s="24" t="s">
        <v>7</v>
      </c>
      <c r="B48" s="25" t="s">
        <v>2</v>
      </c>
      <c r="C48" s="24" t="s">
        <v>225</v>
      </c>
      <c r="D48" s="24" t="s">
        <v>256</v>
      </c>
      <c r="E48" s="25" t="s">
        <v>216</v>
      </c>
      <c r="F48" s="25" t="s">
        <v>144</v>
      </c>
      <c r="G48" s="26" t="n">
        <v>1800</v>
      </c>
      <c r="H48" s="26" t="n">
        <v>0</v>
      </c>
      <c r="I48" s="26" t="n">
        <v>1800</v>
      </c>
      <c r="J48" s="25" t="s">
        <v>185</v>
      </c>
      <c r="K48" s="25" t="s">
        <v>180</v>
      </c>
      <c r="L48" s="25" t="s">
        <v>180</v>
      </c>
      <c r="M48" s="24" t="s">
        <v>186</v>
      </c>
      <c r="N48" s="26" t="n">
        <v>0</v>
      </c>
      <c r="O48" s="26" t="n">
        <v>100</v>
      </c>
      <c r="P48" s="26" t="n">
        <v>100</v>
      </c>
      <c r="Q48" s="25" t="s">
        <v>187</v>
      </c>
    </row>
    <row r="49" customFormat="false" ht="15" hidden="false" customHeight="false" outlineLevel="0" collapsed="false">
      <c r="A49" s="24" t="s">
        <v>7</v>
      </c>
      <c r="B49" s="25" t="s">
        <v>2</v>
      </c>
      <c r="C49" s="24" t="s">
        <v>225</v>
      </c>
      <c r="D49" s="24" t="s">
        <v>257</v>
      </c>
      <c r="E49" s="25" t="s">
        <v>258</v>
      </c>
      <c r="F49" s="25" t="s">
        <v>147</v>
      </c>
      <c r="G49" s="26" t="n">
        <v>17200</v>
      </c>
      <c r="H49" s="26" t="n">
        <v>0</v>
      </c>
      <c r="I49" s="26" t="n">
        <v>17200</v>
      </c>
      <c r="J49" s="25" t="s">
        <v>185</v>
      </c>
      <c r="K49" s="25" t="s">
        <v>180</v>
      </c>
      <c r="L49" s="25" t="s">
        <v>180</v>
      </c>
      <c r="M49" s="24" t="s">
        <v>186</v>
      </c>
      <c r="N49" s="26" t="n">
        <v>0</v>
      </c>
      <c r="O49" s="26" t="n">
        <v>1100</v>
      </c>
      <c r="P49" s="26" t="n">
        <v>1100</v>
      </c>
      <c r="Q49" s="25" t="s">
        <v>187</v>
      </c>
    </row>
    <row r="50" customFormat="false" ht="15" hidden="false" customHeight="false" outlineLevel="0" collapsed="false">
      <c r="A50" s="24" t="s">
        <v>7</v>
      </c>
      <c r="B50" s="25" t="s">
        <v>2</v>
      </c>
      <c r="C50" s="24" t="s">
        <v>225</v>
      </c>
      <c r="D50" s="24" t="s">
        <v>259</v>
      </c>
      <c r="E50" s="25" t="s">
        <v>260</v>
      </c>
      <c r="F50" s="25" t="s">
        <v>189</v>
      </c>
      <c r="G50" s="26" t="n">
        <v>2700</v>
      </c>
      <c r="H50" s="26" t="n">
        <v>0</v>
      </c>
      <c r="I50" s="26" t="n">
        <v>2700</v>
      </c>
      <c r="J50" s="25" t="s">
        <v>185</v>
      </c>
      <c r="K50" s="25" t="s">
        <v>180</v>
      </c>
      <c r="L50" s="25" t="s">
        <v>180</v>
      </c>
      <c r="M50" s="24" t="s">
        <v>186</v>
      </c>
      <c r="N50" s="26" t="n">
        <v>0</v>
      </c>
      <c r="O50" s="26" t="n">
        <v>200</v>
      </c>
      <c r="P50" s="26" t="n">
        <v>200</v>
      </c>
      <c r="Q50" s="25" t="s">
        <v>187</v>
      </c>
    </row>
    <row r="51" customFormat="false" ht="15" hidden="false" customHeight="false" outlineLevel="0" collapsed="false">
      <c r="A51" s="24" t="s">
        <v>7</v>
      </c>
      <c r="B51" s="25" t="s">
        <v>2</v>
      </c>
      <c r="C51" s="24" t="s">
        <v>225</v>
      </c>
      <c r="D51" s="24" t="s">
        <v>261</v>
      </c>
      <c r="E51" s="25" t="s">
        <v>211</v>
      </c>
      <c r="F51" s="25" t="s">
        <v>212</v>
      </c>
      <c r="G51" s="26" t="n">
        <v>4100</v>
      </c>
      <c r="H51" s="26" t="n">
        <v>400</v>
      </c>
      <c r="I51" s="26" t="n">
        <v>3700</v>
      </c>
      <c r="J51" s="25" t="s">
        <v>185</v>
      </c>
      <c r="K51" s="25" t="s">
        <v>180</v>
      </c>
      <c r="L51" s="25" t="s">
        <v>180</v>
      </c>
      <c r="M51" s="24" t="s">
        <v>193</v>
      </c>
      <c r="N51" s="26" t="n">
        <v>400</v>
      </c>
      <c r="O51" s="26" t="n">
        <v>400</v>
      </c>
      <c r="P51" s="26" t="n">
        <v>0</v>
      </c>
      <c r="Q51" s="24"/>
    </row>
    <row r="52" customFormat="false" ht="15" hidden="false" customHeight="false" outlineLevel="0" collapsed="false">
      <c r="A52" s="24" t="s">
        <v>7</v>
      </c>
      <c r="B52" s="25" t="s">
        <v>2</v>
      </c>
      <c r="C52" s="24" t="s">
        <v>225</v>
      </c>
      <c r="D52" s="24" t="s">
        <v>262</v>
      </c>
      <c r="E52" s="24" t="s">
        <v>204</v>
      </c>
      <c r="F52" s="25" t="s">
        <v>205</v>
      </c>
      <c r="G52" s="26" t="n">
        <v>13900</v>
      </c>
      <c r="H52" s="26" t="n">
        <v>0</v>
      </c>
      <c r="I52" s="26" t="n">
        <v>13900</v>
      </c>
      <c r="J52" s="25" t="s">
        <v>185</v>
      </c>
      <c r="K52" s="25" t="s">
        <v>180</v>
      </c>
      <c r="L52" s="25" t="s">
        <v>179</v>
      </c>
      <c r="M52" s="24" t="s">
        <v>181</v>
      </c>
      <c r="N52" s="26" t="n">
        <v>0</v>
      </c>
      <c r="O52" s="26" t="n">
        <v>900</v>
      </c>
      <c r="P52" s="26" t="n">
        <v>900</v>
      </c>
      <c r="Q52" s="25" t="s">
        <v>182</v>
      </c>
    </row>
    <row r="53" customFormat="false" ht="15" hidden="false" customHeight="false" outlineLevel="0" collapsed="false">
      <c r="A53" s="24" t="s">
        <v>7</v>
      </c>
      <c r="B53" s="25" t="s">
        <v>2</v>
      </c>
      <c r="C53" s="24" t="s">
        <v>225</v>
      </c>
      <c r="D53" s="24" t="s">
        <v>263</v>
      </c>
      <c r="E53" s="25" t="s">
        <v>264</v>
      </c>
      <c r="F53" s="25" t="s">
        <v>137</v>
      </c>
      <c r="G53" s="26" t="n">
        <v>9900</v>
      </c>
      <c r="H53" s="26" t="n">
        <v>0</v>
      </c>
      <c r="I53" s="26" t="n">
        <v>9900</v>
      </c>
      <c r="J53" s="25" t="s">
        <v>185</v>
      </c>
      <c r="K53" s="25" t="s">
        <v>180</v>
      </c>
      <c r="L53" s="25" t="s">
        <v>180</v>
      </c>
      <c r="M53" s="24" t="s">
        <v>186</v>
      </c>
      <c r="N53" s="26" t="n">
        <v>0</v>
      </c>
      <c r="O53" s="26" t="n">
        <v>600</v>
      </c>
      <c r="P53" s="26" t="n">
        <v>600</v>
      </c>
      <c r="Q53" s="25" t="s">
        <v>187</v>
      </c>
    </row>
    <row r="54" customFormat="false" ht="15" hidden="false" customHeight="false" outlineLevel="0" collapsed="false">
      <c r="A54" s="24" t="s">
        <v>7</v>
      </c>
      <c r="B54" s="25" t="s">
        <v>2</v>
      </c>
      <c r="C54" s="24" t="s">
        <v>225</v>
      </c>
      <c r="D54" s="24" t="s">
        <v>265</v>
      </c>
      <c r="E54" s="25" t="s">
        <v>266</v>
      </c>
      <c r="F54" s="25" t="s">
        <v>157</v>
      </c>
      <c r="G54" s="26" t="n">
        <v>2700</v>
      </c>
      <c r="H54" s="26" t="n">
        <v>0</v>
      </c>
      <c r="I54" s="26" t="n">
        <v>2700</v>
      </c>
      <c r="J54" s="25" t="s">
        <v>178</v>
      </c>
      <c r="K54" s="25" t="s">
        <v>179</v>
      </c>
      <c r="L54" s="25" t="s">
        <v>180</v>
      </c>
      <c r="M54" s="24" t="s">
        <v>181</v>
      </c>
      <c r="N54" s="26" t="n">
        <v>0</v>
      </c>
      <c r="O54" s="26" t="n">
        <v>200</v>
      </c>
      <c r="P54" s="26" t="n">
        <v>200</v>
      </c>
      <c r="Q54" s="25" t="s">
        <v>182</v>
      </c>
    </row>
    <row r="55" customFormat="false" ht="15" hidden="false" customHeight="false" outlineLevel="0" collapsed="false">
      <c r="A55" s="24" t="s">
        <v>7</v>
      </c>
      <c r="B55" s="25" t="s">
        <v>2</v>
      </c>
      <c r="C55" s="24" t="s">
        <v>225</v>
      </c>
      <c r="D55" s="24" t="s">
        <v>267</v>
      </c>
      <c r="E55" s="25" t="s">
        <v>215</v>
      </c>
      <c r="F55" s="25" t="s">
        <v>145</v>
      </c>
      <c r="G55" s="26" t="n">
        <v>5500</v>
      </c>
      <c r="H55" s="26" t="n">
        <v>0</v>
      </c>
      <c r="I55" s="26" t="n">
        <v>5500</v>
      </c>
      <c r="J55" s="25" t="s">
        <v>178</v>
      </c>
      <c r="K55" s="25" t="s">
        <v>179</v>
      </c>
      <c r="L55" s="25" t="s">
        <v>179</v>
      </c>
      <c r="M55" s="24" t="s">
        <v>186</v>
      </c>
      <c r="N55" s="26" t="n">
        <v>0</v>
      </c>
      <c r="O55" s="26" t="n">
        <v>300</v>
      </c>
      <c r="P55" s="26" t="n">
        <v>300</v>
      </c>
      <c r="Q55" s="25" t="s">
        <v>187</v>
      </c>
    </row>
    <row r="56" customFormat="false" ht="15" hidden="false" customHeight="false" outlineLevel="0" collapsed="false">
      <c r="A56" s="24" t="s">
        <v>7</v>
      </c>
      <c r="B56" s="25" t="s">
        <v>2</v>
      </c>
      <c r="C56" s="24" t="s">
        <v>225</v>
      </c>
      <c r="D56" s="24" t="s">
        <v>268</v>
      </c>
      <c r="E56" s="25" t="s">
        <v>269</v>
      </c>
      <c r="F56" s="25" t="s">
        <v>200</v>
      </c>
      <c r="G56" s="26" t="n">
        <v>18600</v>
      </c>
      <c r="H56" s="26" t="n">
        <v>1800</v>
      </c>
      <c r="I56" s="26" t="n">
        <v>16800</v>
      </c>
      <c r="J56" s="25" t="s">
        <v>185</v>
      </c>
      <c r="K56" s="25" t="s">
        <v>180</v>
      </c>
      <c r="L56" s="25" t="s">
        <v>180</v>
      </c>
      <c r="M56" s="24" t="s">
        <v>193</v>
      </c>
      <c r="N56" s="26" t="n">
        <v>1800</v>
      </c>
      <c r="O56" s="26" t="n">
        <v>1800</v>
      </c>
      <c r="P56" s="26" t="n">
        <v>0</v>
      </c>
      <c r="Q56" s="24"/>
    </row>
    <row r="57" customFormat="false" ht="15" hidden="false" customHeight="false" outlineLevel="0" collapsed="false">
      <c r="A57" s="24" t="s">
        <v>7</v>
      </c>
      <c r="B57" s="25" t="s">
        <v>2</v>
      </c>
      <c r="C57" s="24" t="s">
        <v>225</v>
      </c>
      <c r="D57" s="24" t="s">
        <v>270</v>
      </c>
      <c r="E57" s="25" t="s">
        <v>220</v>
      </c>
      <c r="F57" s="25" t="s">
        <v>144</v>
      </c>
      <c r="G57" s="26" t="n">
        <v>2500</v>
      </c>
      <c r="H57" s="26" t="n">
        <v>0</v>
      </c>
      <c r="I57" s="26" t="n">
        <v>2500</v>
      </c>
      <c r="J57" s="25" t="s">
        <v>185</v>
      </c>
      <c r="K57" s="25" t="s">
        <v>180</v>
      </c>
      <c r="L57" s="25" t="s">
        <v>179</v>
      </c>
      <c r="M57" s="24" t="s">
        <v>181</v>
      </c>
      <c r="N57" s="26" t="n">
        <v>0</v>
      </c>
      <c r="O57" s="26" t="n">
        <v>200</v>
      </c>
      <c r="P57" s="26" t="n">
        <v>200</v>
      </c>
      <c r="Q57" s="25" t="s">
        <v>182</v>
      </c>
    </row>
    <row r="58" customFormat="false" ht="15" hidden="false" customHeight="false" outlineLevel="0" collapsed="false">
      <c r="A58" s="24" t="s">
        <v>7</v>
      </c>
      <c r="B58" s="25" t="s">
        <v>2</v>
      </c>
      <c r="C58" s="24" t="s">
        <v>225</v>
      </c>
      <c r="D58" s="24" t="s">
        <v>271</v>
      </c>
      <c r="E58" s="25" t="s">
        <v>272</v>
      </c>
      <c r="F58" s="25" t="s">
        <v>218</v>
      </c>
      <c r="G58" s="26" t="n">
        <v>9200</v>
      </c>
      <c r="H58" s="26" t="n">
        <v>0</v>
      </c>
      <c r="I58" s="26" t="n">
        <v>9200</v>
      </c>
      <c r="J58" s="25" t="s">
        <v>178</v>
      </c>
      <c r="K58" s="25" t="s">
        <v>179</v>
      </c>
      <c r="L58" s="25" t="s">
        <v>180</v>
      </c>
      <c r="M58" s="24" t="s">
        <v>181</v>
      </c>
      <c r="N58" s="26" t="n">
        <v>0</v>
      </c>
      <c r="O58" s="26" t="n">
        <v>600</v>
      </c>
      <c r="P58" s="26" t="n">
        <v>600</v>
      </c>
      <c r="Q58" s="25" t="s">
        <v>182</v>
      </c>
    </row>
    <row r="59" customFormat="false" ht="15" hidden="false" customHeight="false" outlineLevel="0" collapsed="false">
      <c r="A59" s="24" t="s">
        <v>7</v>
      </c>
      <c r="B59" s="25" t="s">
        <v>2</v>
      </c>
      <c r="C59" s="24" t="s">
        <v>225</v>
      </c>
      <c r="D59" s="24" t="s">
        <v>273</v>
      </c>
      <c r="E59" s="25" t="s">
        <v>188</v>
      </c>
      <c r="F59" s="25" t="s">
        <v>189</v>
      </c>
      <c r="G59" s="26" t="n">
        <v>3800</v>
      </c>
      <c r="H59" s="26" t="n">
        <v>400</v>
      </c>
      <c r="I59" s="26" t="n">
        <v>3400</v>
      </c>
      <c r="J59" s="25" t="s">
        <v>185</v>
      </c>
      <c r="K59" s="25" t="s">
        <v>180</v>
      </c>
      <c r="L59" s="25" t="s">
        <v>180</v>
      </c>
      <c r="M59" s="24" t="s">
        <v>193</v>
      </c>
      <c r="N59" s="26" t="n">
        <v>400</v>
      </c>
      <c r="O59" s="26" t="n">
        <v>400</v>
      </c>
      <c r="P59" s="26" t="n">
        <v>0</v>
      </c>
      <c r="Q59" s="24"/>
    </row>
    <row r="60" customFormat="false" ht="15" hidden="false" customHeight="false" outlineLevel="0" collapsed="false">
      <c r="A60" s="24" t="s">
        <v>7</v>
      </c>
      <c r="B60" s="25" t="s">
        <v>2</v>
      </c>
      <c r="C60" s="24" t="s">
        <v>225</v>
      </c>
      <c r="D60" s="24" t="s">
        <v>274</v>
      </c>
      <c r="E60" s="24" t="s">
        <v>275</v>
      </c>
      <c r="F60" s="25" t="s">
        <v>154</v>
      </c>
      <c r="G60" s="26" t="n">
        <v>3500</v>
      </c>
      <c r="H60" s="26" t="n">
        <v>300</v>
      </c>
      <c r="I60" s="26" t="n">
        <v>3200</v>
      </c>
      <c r="J60" s="25" t="s">
        <v>178</v>
      </c>
      <c r="K60" s="25" t="s">
        <v>179</v>
      </c>
      <c r="L60" s="25" t="s">
        <v>179</v>
      </c>
      <c r="M60" s="24" t="s">
        <v>193</v>
      </c>
      <c r="N60" s="26" t="n">
        <v>300</v>
      </c>
      <c r="O60" s="26" t="n">
        <v>300</v>
      </c>
      <c r="P60" s="26" t="n">
        <v>0</v>
      </c>
      <c r="Q60" s="24"/>
    </row>
    <row r="61" customFormat="false" ht="15" hidden="false" customHeight="false" outlineLevel="0" collapsed="false">
      <c r="A61" s="24" t="s">
        <v>7</v>
      </c>
      <c r="B61" s="25" t="s">
        <v>2</v>
      </c>
      <c r="C61" s="24" t="s">
        <v>225</v>
      </c>
      <c r="D61" s="24" t="s">
        <v>276</v>
      </c>
      <c r="E61" s="25" t="s">
        <v>277</v>
      </c>
      <c r="F61" s="25" t="s">
        <v>145</v>
      </c>
      <c r="G61" s="26" t="n">
        <v>5500</v>
      </c>
      <c r="H61" s="26" t="n">
        <v>0</v>
      </c>
      <c r="I61" s="26" t="n">
        <v>5500</v>
      </c>
      <c r="J61" s="25" t="s">
        <v>185</v>
      </c>
      <c r="K61" s="25" t="s">
        <v>180</v>
      </c>
      <c r="L61" s="25" t="s">
        <v>180</v>
      </c>
      <c r="M61" s="24" t="s">
        <v>186</v>
      </c>
      <c r="N61" s="26" t="n">
        <v>0</v>
      </c>
      <c r="O61" s="26" t="n">
        <v>300</v>
      </c>
      <c r="P61" s="26" t="n">
        <v>300</v>
      </c>
      <c r="Q61" s="25" t="s">
        <v>187</v>
      </c>
    </row>
    <row r="62" customFormat="false" ht="15" hidden="false" customHeight="false" outlineLevel="0" collapsed="false">
      <c r="A62" s="24" t="s">
        <v>7</v>
      </c>
      <c r="B62" s="25" t="s">
        <v>2</v>
      </c>
      <c r="C62" s="24" t="s">
        <v>225</v>
      </c>
      <c r="D62" s="24" t="s">
        <v>278</v>
      </c>
      <c r="E62" s="25" t="s">
        <v>223</v>
      </c>
      <c r="F62" s="25" t="s">
        <v>189</v>
      </c>
      <c r="G62" s="26" t="n">
        <v>2700</v>
      </c>
      <c r="H62" s="26" t="n">
        <v>0</v>
      </c>
      <c r="I62" s="26" t="n">
        <v>2700</v>
      </c>
      <c r="J62" s="25" t="s">
        <v>185</v>
      </c>
      <c r="K62" s="25" t="s">
        <v>180</v>
      </c>
      <c r="L62" s="25" t="s">
        <v>180</v>
      </c>
      <c r="M62" s="24" t="s">
        <v>186</v>
      </c>
      <c r="N62" s="26" t="n">
        <v>0</v>
      </c>
      <c r="O62" s="26" t="n">
        <v>200</v>
      </c>
      <c r="P62" s="26" t="n">
        <v>200</v>
      </c>
      <c r="Q62" s="25" t="s">
        <v>187</v>
      </c>
    </row>
    <row r="63" customFormat="false" ht="15" hidden="false" customHeight="false" outlineLevel="0" collapsed="false">
      <c r="A63" s="24" t="s">
        <v>7</v>
      </c>
      <c r="B63" s="25" t="s">
        <v>2</v>
      </c>
      <c r="C63" s="24" t="s">
        <v>225</v>
      </c>
      <c r="D63" s="24" t="s">
        <v>279</v>
      </c>
      <c r="E63" s="25" t="s">
        <v>177</v>
      </c>
      <c r="F63" s="25" t="s">
        <v>140</v>
      </c>
      <c r="G63" s="26" t="n">
        <v>6900</v>
      </c>
      <c r="H63" s="26" t="n">
        <v>700</v>
      </c>
      <c r="I63" s="26" t="n">
        <v>6200</v>
      </c>
      <c r="J63" s="25" t="s">
        <v>185</v>
      </c>
      <c r="K63" s="25" t="s">
        <v>180</v>
      </c>
      <c r="L63" s="25" t="s">
        <v>180</v>
      </c>
      <c r="M63" s="24" t="s">
        <v>193</v>
      </c>
      <c r="N63" s="26" t="n">
        <v>700</v>
      </c>
      <c r="O63" s="26" t="n">
        <v>700</v>
      </c>
      <c r="P63" s="26" t="n">
        <v>0</v>
      </c>
      <c r="Q63" s="24"/>
    </row>
    <row r="64" customFormat="false" ht="15" hidden="false" customHeight="false" outlineLevel="0" collapsed="false">
      <c r="A64" s="24" t="s">
        <v>7</v>
      </c>
      <c r="B64" s="25" t="s">
        <v>2</v>
      </c>
      <c r="C64" s="24" t="s">
        <v>225</v>
      </c>
      <c r="D64" s="24" t="s">
        <v>280</v>
      </c>
      <c r="E64" s="25" t="s">
        <v>281</v>
      </c>
      <c r="F64" s="25" t="s">
        <v>138</v>
      </c>
      <c r="G64" s="26" t="n">
        <v>4200</v>
      </c>
      <c r="H64" s="26" t="n">
        <v>0</v>
      </c>
      <c r="I64" s="26" t="n">
        <v>4200</v>
      </c>
      <c r="J64" s="25" t="s">
        <v>178</v>
      </c>
      <c r="K64" s="25" t="s">
        <v>179</v>
      </c>
      <c r="L64" s="25" t="s">
        <v>180</v>
      </c>
      <c r="M64" s="24" t="s">
        <v>181</v>
      </c>
      <c r="N64" s="26" t="n">
        <v>0</v>
      </c>
      <c r="O64" s="26" t="n">
        <v>300</v>
      </c>
      <c r="P64" s="26" t="n">
        <v>300</v>
      </c>
      <c r="Q64" s="25" t="s">
        <v>182</v>
      </c>
    </row>
    <row r="65" customFormat="false" ht="15" hidden="false" customHeight="false" outlineLevel="0" collapsed="false">
      <c r="A65" s="24" t="s">
        <v>7</v>
      </c>
      <c r="B65" s="25" t="s">
        <v>2</v>
      </c>
      <c r="C65" s="24" t="s">
        <v>225</v>
      </c>
      <c r="D65" s="24" t="s">
        <v>282</v>
      </c>
      <c r="E65" s="25" t="s">
        <v>283</v>
      </c>
      <c r="F65" s="25" t="s">
        <v>137</v>
      </c>
      <c r="G65" s="26" t="n">
        <v>19400</v>
      </c>
      <c r="H65" s="26" t="n">
        <v>1900</v>
      </c>
      <c r="I65" s="26" t="n">
        <v>17500</v>
      </c>
      <c r="J65" s="25" t="s">
        <v>185</v>
      </c>
      <c r="K65" s="25" t="s">
        <v>180</v>
      </c>
      <c r="L65" s="25" t="s">
        <v>180</v>
      </c>
      <c r="M65" s="24" t="s">
        <v>193</v>
      </c>
      <c r="N65" s="26" t="n">
        <v>1900</v>
      </c>
      <c r="O65" s="26" t="n">
        <v>1900</v>
      </c>
      <c r="P65" s="26" t="n">
        <v>0</v>
      </c>
      <c r="Q65" s="24"/>
    </row>
    <row r="66" customFormat="false" ht="15" hidden="false" customHeight="false" outlineLevel="0" collapsed="false">
      <c r="A66" s="24" t="s">
        <v>7</v>
      </c>
      <c r="B66" s="25" t="s">
        <v>2</v>
      </c>
      <c r="C66" s="24" t="s">
        <v>225</v>
      </c>
      <c r="D66" s="24" t="s">
        <v>284</v>
      </c>
      <c r="E66" s="25" t="s">
        <v>224</v>
      </c>
      <c r="F66" s="25" t="s">
        <v>189</v>
      </c>
      <c r="G66" s="26" t="n">
        <v>3500</v>
      </c>
      <c r="H66" s="26" t="n">
        <v>0</v>
      </c>
      <c r="I66" s="26" t="n">
        <v>3500</v>
      </c>
      <c r="J66" s="25" t="s">
        <v>185</v>
      </c>
      <c r="K66" s="25" t="s">
        <v>180</v>
      </c>
      <c r="L66" s="25" t="s">
        <v>180</v>
      </c>
      <c r="M66" s="24" t="s">
        <v>186</v>
      </c>
      <c r="N66" s="26" t="n">
        <v>0</v>
      </c>
      <c r="O66" s="26" t="n">
        <v>200</v>
      </c>
      <c r="P66" s="26" t="n">
        <v>200</v>
      </c>
      <c r="Q66" s="25" t="s">
        <v>187</v>
      </c>
    </row>
    <row r="67" customFormat="false" ht="15" hidden="false" customHeight="false" outlineLevel="0" collapsed="false">
      <c r="A67" s="24" t="s">
        <v>7</v>
      </c>
      <c r="B67" s="25" t="s">
        <v>2</v>
      </c>
      <c r="C67" s="24" t="s">
        <v>225</v>
      </c>
      <c r="D67" s="24" t="s">
        <v>285</v>
      </c>
      <c r="E67" s="25" t="s">
        <v>286</v>
      </c>
      <c r="F67" s="25" t="s">
        <v>135</v>
      </c>
      <c r="G67" s="26" t="n">
        <v>24300</v>
      </c>
      <c r="H67" s="26" t="n">
        <v>0</v>
      </c>
      <c r="I67" s="26" t="n">
        <v>24300</v>
      </c>
      <c r="J67" s="25" t="s">
        <v>178</v>
      </c>
      <c r="K67" s="25" t="s">
        <v>179</v>
      </c>
      <c r="L67" s="24"/>
      <c r="M67" s="24" t="s">
        <v>196</v>
      </c>
      <c r="N67" s="26" t="n">
        <v>0</v>
      </c>
      <c r="O67" s="26" t="n">
        <v>0</v>
      </c>
      <c r="P67" s="26" t="n">
        <v>0</v>
      </c>
      <c r="Q67" s="25" t="s">
        <v>197</v>
      </c>
    </row>
    <row r="68" customFormat="false" ht="15" hidden="false" customHeight="false" outlineLevel="0" collapsed="false">
      <c r="A68" s="24" t="s">
        <v>7</v>
      </c>
      <c r="B68" s="25" t="s">
        <v>2</v>
      </c>
      <c r="C68" s="24" t="s">
        <v>225</v>
      </c>
      <c r="D68" s="24" t="s">
        <v>287</v>
      </c>
      <c r="E68" s="25" t="s">
        <v>288</v>
      </c>
      <c r="F68" s="25" t="s">
        <v>200</v>
      </c>
      <c r="G68" s="26" t="n">
        <v>31500</v>
      </c>
      <c r="H68" s="26" t="n">
        <v>0</v>
      </c>
      <c r="I68" s="26" t="n">
        <v>31500</v>
      </c>
      <c r="J68" s="25" t="s">
        <v>185</v>
      </c>
      <c r="K68" s="25" t="s">
        <v>180</v>
      </c>
      <c r="L68" s="25" t="s">
        <v>179</v>
      </c>
      <c r="M68" s="24" t="s">
        <v>181</v>
      </c>
      <c r="N68" s="26" t="n">
        <v>0</v>
      </c>
      <c r="O68" s="26" t="n">
        <v>1800</v>
      </c>
      <c r="P68" s="26" t="n">
        <v>1800</v>
      </c>
      <c r="Q68" s="25" t="s">
        <v>182</v>
      </c>
    </row>
    <row r="69" customFormat="false" ht="15" hidden="false" customHeight="false" outlineLevel="0" collapsed="false">
      <c r="A69" s="24" t="s">
        <v>7</v>
      </c>
      <c r="B69" s="25" t="s">
        <v>2</v>
      </c>
      <c r="C69" s="24" t="s">
        <v>225</v>
      </c>
      <c r="D69" s="24" t="s">
        <v>289</v>
      </c>
      <c r="E69" s="25" t="s">
        <v>290</v>
      </c>
      <c r="F69" s="25" t="s">
        <v>212</v>
      </c>
      <c r="G69" s="26" t="n">
        <v>5500</v>
      </c>
      <c r="H69" s="26" t="n">
        <v>0</v>
      </c>
      <c r="I69" s="26" t="n">
        <v>5500</v>
      </c>
      <c r="J69" s="25" t="s">
        <v>185</v>
      </c>
      <c r="K69" s="25" t="s">
        <v>180</v>
      </c>
      <c r="L69" s="25" t="s">
        <v>180</v>
      </c>
      <c r="M69" s="24" t="s">
        <v>186</v>
      </c>
      <c r="N69" s="26" t="n">
        <v>0</v>
      </c>
      <c r="O69" s="26" t="n">
        <v>300</v>
      </c>
      <c r="P69" s="26" t="n">
        <v>300</v>
      </c>
      <c r="Q69" s="25" t="s">
        <v>187</v>
      </c>
    </row>
    <row r="70" customFormat="false" ht="15" hidden="false" customHeight="false" outlineLevel="0" collapsed="false">
      <c r="A70" s="24" t="s">
        <v>7</v>
      </c>
      <c r="B70" s="25" t="s">
        <v>2</v>
      </c>
      <c r="C70" s="24" t="s">
        <v>225</v>
      </c>
      <c r="D70" s="24" t="s">
        <v>291</v>
      </c>
      <c r="E70" s="25" t="s">
        <v>292</v>
      </c>
      <c r="F70" s="25" t="s">
        <v>144</v>
      </c>
      <c r="G70" s="26" t="n">
        <v>1800</v>
      </c>
      <c r="H70" s="26" t="n">
        <v>0</v>
      </c>
      <c r="I70" s="26" t="n">
        <v>1800</v>
      </c>
      <c r="J70" s="25" t="s">
        <v>178</v>
      </c>
      <c r="K70" s="25" t="s">
        <v>179</v>
      </c>
      <c r="L70" s="25" t="s">
        <v>180</v>
      </c>
      <c r="M70" s="24" t="s">
        <v>181</v>
      </c>
      <c r="N70" s="26" t="n">
        <v>0</v>
      </c>
      <c r="O70" s="26" t="n">
        <v>100</v>
      </c>
      <c r="P70" s="26" t="n">
        <v>100</v>
      </c>
      <c r="Q70" s="25" t="s">
        <v>182</v>
      </c>
    </row>
    <row r="71" customFormat="false" ht="15" hidden="false" customHeight="false" outlineLevel="0" collapsed="false">
      <c r="A71" s="24" t="s">
        <v>7</v>
      </c>
      <c r="B71" s="25" t="s">
        <v>2</v>
      </c>
      <c r="C71" s="24" t="s">
        <v>225</v>
      </c>
      <c r="D71" s="24" t="s">
        <v>293</v>
      </c>
      <c r="E71" s="24" t="s">
        <v>294</v>
      </c>
      <c r="F71" s="25" t="s">
        <v>140</v>
      </c>
      <c r="G71" s="26" t="n">
        <v>8700</v>
      </c>
      <c r="H71" s="26" t="n">
        <v>0</v>
      </c>
      <c r="I71" s="26" t="n">
        <v>8700</v>
      </c>
      <c r="J71" s="25" t="s">
        <v>185</v>
      </c>
      <c r="K71" s="25" t="s">
        <v>180</v>
      </c>
      <c r="L71" s="25" t="s">
        <v>180</v>
      </c>
      <c r="M71" s="24" t="s">
        <v>186</v>
      </c>
      <c r="N71" s="26" t="n">
        <v>0</v>
      </c>
      <c r="O71" s="26" t="n">
        <v>500</v>
      </c>
      <c r="P71" s="26" t="n">
        <v>500</v>
      </c>
      <c r="Q71" s="25" t="s">
        <v>187</v>
      </c>
    </row>
    <row r="72" customFormat="false" ht="15" hidden="false" customHeight="false" outlineLevel="0" collapsed="false">
      <c r="A72" s="24" t="s">
        <v>7</v>
      </c>
      <c r="B72" s="25" t="s">
        <v>2</v>
      </c>
      <c r="C72" s="24" t="s">
        <v>225</v>
      </c>
      <c r="D72" s="24" t="s">
        <v>295</v>
      </c>
      <c r="E72" s="25" t="s">
        <v>296</v>
      </c>
      <c r="F72" s="25" t="s">
        <v>147</v>
      </c>
      <c r="G72" s="26" t="n">
        <v>9200</v>
      </c>
      <c r="H72" s="26" t="n">
        <v>0</v>
      </c>
      <c r="I72" s="26" t="n">
        <v>9200</v>
      </c>
      <c r="J72" s="25" t="s">
        <v>178</v>
      </c>
      <c r="K72" s="25" t="s">
        <v>179</v>
      </c>
      <c r="L72" s="25" t="s">
        <v>180</v>
      </c>
      <c r="M72" s="24" t="s">
        <v>181</v>
      </c>
      <c r="N72" s="26" t="n">
        <v>0</v>
      </c>
      <c r="O72" s="26" t="n">
        <v>600</v>
      </c>
      <c r="P72" s="26" t="n">
        <v>600</v>
      </c>
      <c r="Q72" s="25" t="s">
        <v>182</v>
      </c>
    </row>
    <row r="73" customFormat="false" ht="15" hidden="false" customHeight="false" outlineLevel="0" collapsed="false">
      <c r="A73" s="24" t="s">
        <v>7</v>
      </c>
      <c r="B73" s="25" t="s">
        <v>2</v>
      </c>
      <c r="C73" s="24" t="s">
        <v>225</v>
      </c>
      <c r="D73" s="24" t="s">
        <v>297</v>
      </c>
      <c r="E73" s="25" t="s">
        <v>195</v>
      </c>
      <c r="F73" s="25" t="s">
        <v>144</v>
      </c>
      <c r="G73" s="26" t="n">
        <v>2200</v>
      </c>
      <c r="H73" s="26" t="n">
        <v>0</v>
      </c>
      <c r="I73" s="26" t="n">
        <v>2200</v>
      </c>
      <c r="J73" s="25" t="s">
        <v>185</v>
      </c>
      <c r="K73" s="25" t="s">
        <v>180</v>
      </c>
      <c r="L73" s="25" t="s">
        <v>180</v>
      </c>
      <c r="M73" s="24" t="s">
        <v>186</v>
      </c>
      <c r="N73" s="26" t="n">
        <v>0</v>
      </c>
      <c r="O73" s="26" t="n">
        <v>100</v>
      </c>
      <c r="P73" s="26" t="n">
        <v>100</v>
      </c>
      <c r="Q73" s="25" t="s">
        <v>187</v>
      </c>
    </row>
    <row r="74" customFormat="false" ht="15" hidden="false" customHeight="false" outlineLevel="0" collapsed="false">
      <c r="A74" s="24" t="s">
        <v>7</v>
      </c>
      <c r="B74" s="25" t="s">
        <v>2</v>
      </c>
      <c r="C74" s="24" t="s">
        <v>225</v>
      </c>
      <c r="D74" s="24" t="s">
        <v>298</v>
      </c>
      <c r="E74" s="25" t="s">
        <v>299</v>
      </c>
      <c r="F74" s="25" t="s">
        <v>145</v>
      </c>
      <c r="G74" s="26" t="n">
        <v>4200</v>
      </c>
      <c r="H74" s="26" t="n">
        <v>0</v>
      </c>
      <c r="I74" s="26" t="n">
        <v>4200</v>
      </c>
      <c r="J74" s="25" t="s">
        <v>185</v>
      </c>
      <c r="K74" s="25" t="s">
        <v>180</v>
      </c>
      <c r="L74" s="25" t="s">
        <v>180</v>
      </c>
      <c r="M74" s="24" t="s">
        <v>186</v>
      </c>
      <c r="N74" s="26" t="n">
        <v>0</v>
      </c>
      <c r="O74" s="26" t="n">
        <v>300</v>
      </c>
      <c r="P74" s="26" t="n">
        <v>300</v>
      </c>
      <c r="Q74" s="25" t="s">
        <v>187</v>
      </c>
    </row>
    <row r="75" customFormat="false" ht="15" hidden="false" customHeight="false" outlineLevel="0" collapsed="false">
      <c r="A75" s="24" t="s">
        <v>7</v>
      </c>
      <c r="B75" s="25" t="s">
        <v>2</v>
      </c>
      <c r="C75" s="24" t="s">
        <v>225</v>
      </c>
      <c r="D75" s="24" t="s">
        <v>300</v>
      </c>
      <c r="E75" s="25" t="s">
        <v>206</v>
      </c>
      <c r="F75" s="25" t="s">
        <v>137</v>
      </c>
      <c r="G75" s="26" t="n">
        <v>7800</v>
      </c>
      <c r="H75" s="26" t="n">
        <v>0</v>
      </c>
      <c r="I75" s="26" t="n">
        <v>7800</v>
      </c>
      <c r="J75" s="25" t="s">
        <v>185</v>
      </c>
      <c r="K75" s="25" t="s">
        <v>180</v>
      </c>
      <c r="L75" s="25" t="s">
        <v>180</v>
      </c>
      <c r="M75" s="24" t="s">
        <v>186</v>
      </c>
      <c r="N75" s="26" t="n">
        <v>0</v>
      </c>
      <c r="O75" s="26" t="n">
        <v>500</v>
      </c>
      <c r="P75" s="26" t="n">
        <v>500</v>
      </c>
      <c r="Q75" s="25" t="s">
        <v>187</v>
      </c>
    </row>
    <row r="76" customFormat="false" ht="15" hidden="false" customHeight="false" outlineLevel="0" collapsed="false">
      <c r="A76" s="24" t="s">
        <v>7</v>
      </c>
      <c r="B76" s="25" t="s">
        <v>2</v>
      </c>
      <c r="C76" s="24" t="s">
        <v>225</v>
      </c>
      <c r="D76" s="24" t="s">
        <v>301</v>
      </c>
      <c r="E76" s="25" t="s">
        <v>260</v>
      </c>
      <c r="F76" s="25" t="s">
        <v>189</v>
      </c>
      <c r="G76" s="26" t="n">
        <v>3600</v>
      </c>
      <c r="H76" s="26" t="n">
        <v>0</v>
      </c>
      <c r="I76" s="26" t="n">
        <v>3600</v>
      </c>
      <c r="J76" s="25" t="s">
        <v>185</v>
      </c>
      <c r="K76" s="25" t="s">
        <v>180</v>
      </c>
      <c r="L76" s="25" t="s">
        <v>180</v>
      </c>
      <c r="M76" s="24" t="s">
        <v>186</v>
      </c>
      <c r="N76" s="26" t="n">
        <v>0</v>
      </c>
      <c r="O76" s="26" t="n">
        <v>200</v>
      </c>
      <c r="P76" s="26" t="n">
        <v>200</v>
      </c>
      <c r="Q76" s="25" t="s">
        <v>187</v>
      </c>
    </row>
    <row r="77" customFormat="false" ht="15" hidden="false" customHeight="false" outlineLevel="0" collapsed="false">
      <c r="A77" s="24" t="s">
        <v>7</v>
      </c>
      <c r="B77" s="25" t="s">
        <v>2</v>
      </c>
      <c r="C77" s="24" t="s">
        <v>225</v>
      </c>
      <c r="D77" s="24" t="s">
        <v>302</v>
      </c>
      <c r="E77" s="25" t="s">
        <v>201</v>
      </c>
      <c r="F77" s="25" t="s">
        <v>134</v>
      </c>
      <c r="G77" s="26" t="n">
        <v>23500</v>
      </c>
      <c r="H77" s="26" t="n">
        <v>2300</v>
      </c>
      <c r="I77" s="26" t="n">
        <v>21200</v>
      </c>
      <c r="J77" s="25" t="s">
        <v>185</v>
      </c>
      <c r="K77" s="25" t="s">
        <v>180</v>
      </c>
      <c r="L77" s="25" t="s">
        <v>180</v>
      </c>
      <c r="M77" s="24" t="s">
        <v>193</v>
      </c>
      <c r="N77" s="26" t="n">
        <v>2300</v>
      </c>
      <c r="O77" s="26" t="n">
        <v>2300</v>
      </c>
      <c r="P77" s="26" t="n">
        <v>0</v>
      </c>
      <c r="Q77" s="24"/>
    </row>
    <row r="78" customFormat="false" ht="15" hidden="false" customHeight="false" outlineLevel="0" collapsed="false">
      <c r="A78" s="24" t="s">
        <v>7</v>
      </c>
      <c r="B78" s="25" t="s">
        <v>2</v>
      </c>
      <c r="C78" s="24" t="s">
        <v>225</v>
      </c>
      <c r="D78" s="24" t="s">
        <v>303</v>
      </c>
      <c r="E78" s="25" t="s">
        <v>304</v>
      </c>
      <c r="F78" s="25" t="s">
        <v>138</v>
      </c>
      <c r="G78" s="26" t="n">
        <v>3600</v>
      </c>
      <c r="H78" s="26" t="n">
        <v>0</v>
      </c>
      <c r="I78" s="26" t="n">
        <v>3600</v>
      </c>
      <c r="J78" s="25" t="s">
        <v>178</v>
      </c>
      <c r="K78" s="25" t="s">
        <v>179</v>
      </c>
      <c r="L78" s="25" t="s">
        <v>180</v>
      </c>
      <c r="M78" s="24" t="s">
        <v>181</v>
      </c>
      <c r="N78" s="26" t="n">
        <v>0</v>
      </c>
      <c r="O78" s="26" t="n">
        <v>200</v>
      </c>
      <c r="P78" s="26" t="n">
        <v>200</v>
      </c>
      <c r="Q78" s="25" t="s">
        <v>182</v>
      </c>
    </row>
    <row r="79" customFormat="false" ht="15" hidden="false" customHeight="false" outlineLevel="0" collapsed="false">
      <c r="A79" s="24" t="s">
        <v>7</v>
      </c>
      <c r="B79" s="25" t="s">
        <v>2</v>
      </c>
      <c r="C79" s="24" t="s">
        <v>225</v>
      </c>
      <c r="D79" s="24" t="s">
        <v>305</v>
      </c>
      <c r="E79" s="25" t="s">
        <v>202</v>
      </c>
      <c r="F79" s="25" t="s">
        <v>144</v>
      </c>
      <c r="G79" s="26" t="n">
        <v>2300</v>
      </c>
      <c r="H79" s="26" t="n">
        <v>200</v>
      </c>
      <c r="I79" s="26" t="n">
        <v>2100</v>
      </c>
      <c r="J79" s="25" t="s">
        <v>185</v>
      </c>
      <c r="K79" s="25" t="s">
        <v>180</v>
      </c>
      <c r="L79" s="25" t="s">
        <v>180</v>
      </c>
      <c r="M79" s="24" t="s">
        <v>193</v>
      </c>
      <c r="N79" s="26" t="n">
        <v>200</v>
      </c>
      <c r="O79" s="26" t="n">
        <v>200</v>
      </c>
      <c r="P79" s="26" t="n">
        <v>0</v>
      </c>
      <c r="Q79" s="24"/>
    </row>
    <row r="80" customFormat="false" ht="15" hidden="false" customHeight="false" outlineLevel="0" collapsed="false">
      <c r="A80" s="24" t="s">
        <v>7</v>
      </c>
      <c r="B80" s="25" t="s">
        <v>2</v>
      </c>
      <c r="C80" s="24" t="s">
        <v>225</v>
      </c>
      <c r="D80" s="24" t="s">
        <v>306</v>
      </c>
      <c r="E80" s="25" t="s">
        <v>307</v>
      </c>
      <c r="F80" s="25" t="s">
        <v>205</v>
      </c>
      <c r="G80" s="26" t="n">
        <v>6900</v>
      </c>
      <c r="H80" s="26" t="n">
        <v>0</v>
      </c>
      <c r="I80" s="26" t="n">
        <v>6900</v>
      </c>
      <c r="J80" s="25" t="s">
        <v>185</v>
      </c>
      <c r="K80" s="25" t="s">
        <v>180</v>
      </c>
      <c r="L80" s="25" t="s">
        <v>179</v>
      </c>
      <c r="M80" s="24" t="s">
        <v>181</v>
      </c>
      <c r="N80" s="26" t="n">
        <v>0</v>
      </c>
      <c r="O80" s="26" t="n">
        <v>400</v>
      </c>
      <c r="P80" s="26" t="n">
        <v>400</v>
      </c>
      <c r="Q80" s="25" t="s">
        <v>182</v>
      </c>
    </row>
    <row r="81" customFormat="false" ht="15" hidden="false" customHeight="false" outlineLevel="0" collapsed="false">
      <c r="A81" s="24" t="s">
        <v>7</v>
      </c>
      <c r="B81" s="25" t="s">
        <v>2</v>
      </c>
      <c r="C81" s="24" t="s">
        <v>225</v>
      </c>
      <c r="D81" s="24" t="s">
        <v>308</v>
      </c>
      <c r="E81" s="25" t="s">
        <v>219</v>
      </c>
      <c r="F81" s="25" t="s">
        <v>137</v>
      </c>
      <c r="G81" s="26" t="n">
        <v>6700</v>
      </c>
      <c r="H81" s="26" t="n">
        <v>600</v>
      </c>
      <c r="I81" s="26" t="n">
        <v>6100</v>
      </c>
      <c r="J81" s="25" t="s">
        <v>185</v>
      </c>
      <c r="K81" s="25" t="s">
        <v>180</v>
      </c>
      <c r="L81" s="25" t="s">
        <v>180</v>
      </c>
      <c r="M81" s="24" t="s">
        <v>193</v>
      </c>
      <c r="N81" s="26" t="n">
        <v>600</v>
      </c>
      <c r="O81" s="26" t="n">
        <v>600</v>
      </c>
      <c r="P81" s="26" t="n">
        <v>0</v>
      </c>
      <c r="Q81" s="24"/>
    </row>
    <row r="82" customFormat="false" ht="15" hidden="false" customHeight="false" outlineLevel="0" collapsed="false">
      <c r="A82" s="24" t="s">
        <v>7</v>
      </c>
      <c r="B82" s="25" t="s">
        <v>2</v>
      </c>
      <c r="C82" s="24" t="s">
        <v>225</v>
      </c>
      <c r="D82" s="24" t="s">
        <v>309</v>
      </c>
      <c r="E82" s="24" t="s">
        <v>310</v>
      </c>
      <c r="F82" s="25" t="s">
        <v>140</v>
      </c>
      <c r="G82" s="26" t="n">
        <v>7200</v>
      </c>
      <c r="H82" s="26" t="n">
        <v>0</v>
      </c>
      <c r="I82" s="26" t="n">
        <v>7200</v>
      </c>
      <c r="J82" s="25" t="s">
        <v>185</v>
      </c>
      <c r="K82" s="25" t="s">
        <v>180</v>
      </c>
      <c r="L82" s="25" t="s">
        <v>180</v>
      </c>
      <c r="M82" s="24" t="s">
        <v>186</v>
      </c>
      <c r="N82" s="26" t="n">
        <v>0</v>
      </c>
      <c r="O82" s="26" t="n">
        <v>400</v>
      </c>
      <c r="P82" s="26" t="n">
        <v>400</v>
      </c>
      <c r="Q82" s="25" t="s">
        <v>187</v>
      </c>
    </row>
    <row r="83" customFormat="false" ht="15" hidden="false" customHeight="false" outlineLevel="0" collapsed="false">
      <c r="A83" s="24" t="s">
        <v>7</v>
      </c>
      <c r="B83" s="25" t="s">
        <v>2</v>
      </c>
      <c r="C83" s="24" t="s">
        <v>225</v>
      </c>
      <c r="D83" s="24" t="s">
        <v>311</v>
      </c>
      <c r="E83" s="25" t="s">
        <v>312</v>
      </c>
      <c r="F83" s="25" t="s">
        <v>158</v>
      </c>
      <c r="G83" s="26" t="n">
        <v>3400</v>
      </c>
      <c r="H83" s="26" t="n">
        <v>0</v>
      </c>
      <c r="I83" s="26" t="n">
        <v>3400</v>
      </c>
      <c r="J83" s="25" t="s">
        <v>178</v>
      </c>
      <c r="K83" s="25" t="s">
        <v>179</v>
      </c>
      <c r="L83" s="25" t="s">
        <v>180</v>
      </c>
      <c r="M83" s="24" t="s">
        <v>181</v>
      </c>
      <c r="N83" s="26" t="n">
        <v>0</v>
      </c>
      <c r="O83" s="26" t="n">
        <v>200</v>
      </c>
      <c r="P83" s="26" t="n">
        <v>200</v>
      </c>
      <c r="Q83" s="25" t="s">
        <v>182</v>
      </c>
    </row>
    <row r="84" customFormat="false" ht="15" hidden="false" customHeight="false" outlineLevel="0" collapsed="false">
      <c r="A84" s="24" t="s">
        <v>7</v>
      </c>
      <c r="B84" s="25" t="s">
        <v>2</v>
      </c>
      <c r="C84" s="24" t="s">
        <v>225</v>
      </c>
      <c r="D84" s="24" t="s">
        <v>313</v>
      </c>
      <c r="E84" s="25" t="s">
        <v>222</v>
      </c>
      <c r="F84" s="25" t="s">
        <v>137</v>
      </c>
      <c r="G84" s="26" t="n">
        <v>8600</v>
      </c>
      <c r="H84" s="26" t="n">
        <v>0</v>
      </c>
      <c r="I84" s="26" t="n">
        <v>8600</v>
      </c>
      <c r="J84" s="25" t="s">
        <v>185</v>
      </c>
      <c r="K84" s="25" t="s">
        <v>180</v>
      </c>
      <c r="L84" s="25" t="s">
        <v>180</v>
      </c>
      <c r="M84" s="24" t="s">
        <v>186</v>
      </c>
      <c r="N84" s="26" t="n">
        <v>0</v>
      </c>
      <c r="O84" s="26" t="n">
        <v>500</v>
      </c>
      <c r="P84" s="26" t="n">
        <v>500</v>
      </c>
      <c r="Q84" s="25" t="s">
        <v>187</v>
      </c>
    </row>
    <row r="85" customFormat="false" ht="15" hidden="false" customHeight="false" outlineLevel="0" collapsed="false">
      <c r="A85" s="24" t="s">
        <v>7</v>
      </c>
      <c r="B85" s="25" t="s">
        <v>2</v>
      </c>
      <c r="C85" s="24" t="s">
        <v>225</v>
      </c>
      <c r="D85" s="24" t="s">
        <v>314</v>
      </c>
      <c r="E85" s="25" t="s">
        <v>315</v>
      </c>
      <c r="F85" s="25" t="s">
        <v>218</v>
      </c>
      <c r="G85" s="26" t="n">
        <v>9200</v>
      </c>
      <c r="H85" s="26" t="n">
        <v>0</v>
      </c>
      <c r="I85" s="26" t="n">
        <v>9200</v>
      </c>
      <c r="J85" s="25" t="s">
        <v>178</v>
      </c>
      <c r="K85" s="25" t="s">
        <v>179</v>
      </c>
      <c r="L85" s="25" t="s">
        <v>180</v>
      </c>
      <c r="M85" s="24" t="s">
        <v>181</v>
      </c>
      <c r="N85" s="26" t="n">
        <v>0</v>
      </c>
      <c r="O85" s="26" t="n">
        <v>600</v>
      </c>
      <c r="P85" s="26" t="n">
        <v>600</v>
      </c>
      <c r="Q85" s="25" t="s">
        <v>182</v>
      </c>
    </row>
    <row r="86" customFormat="false" ht="15" hidden="false" customHeight="false" outlineLevel="0" collapsed="false">
      <c r="A86" s="24" t="s">
        <v>7</v>
      </c>
      <c r="B86" s="25" t="s">
        <v>2</v>
      </c>
      <c r="C86" s="24" t="s">
        <v>225</v>
      </c>
      <c r="D86" s="24" t="s">
        <v>316</v>
      </c>
      <c r="E86" s="25" t="s">
        <v>216</v>
      </c>
      <c r="F86" s="25" t="s">
        <v>144</v>
      </c>
      <c r="G86" s="26" t="n">
        <v>2400</v>
      </c>
      <c r="H86" s="26" t="n">
        <v>0</v>
      </c>
      <c r="I86" s="26" t="n">
        <v>2400</v>
      </c>
      <c r="J86" s="25" t="s">
        <v>185</v>
      </c>
      <c r="K86" s="25" t="s">
        <v>180</v>
      </c>
      <c r="L86" s="25" t="s">
        <v>180</v>
      </c>
      <c r="M86" s="24" t="s">
        <v>186</v>
      </c>
      <c r="N86" s="26" t="n">
        <v>0</v>
      </c>
      <c r="O86" s="26" t="n">
        <v>100</v>
      </c>
      <c r="P86" s="26" t="n">
        <v>100</v>
      </c>
      <c r="Q86" s="25" t="s">
        <v>187</v>
      </c>
    </row>
    <row r="87" customFormat="false" ht="15" hidden="false" customHeight="false" outlineLevel="0" collapsed="false">
      <c r="A87" s="24" t="s">
        <v>7</v>
      </c>
      <c r="B87" s="25" t="s">
        <v>2</v>
      </c>
      <c r="C87" s="24" t="s">
        <v>225</v>
      </c>
      <c r="D87" s="24" t="s">
        <v>317</v>
      </c>
      <c r="E87" s="25" t="s">
        <v>318</v>
      </c>
      <c r="F87" s="25" t="s">
        <v>154</v>
      </c>
      <c r="G87" s="26" t="n">
        <v>2700</v>
      </c>
      <c r="H87" s="26" t="n">
        <v>0</v>
      </c>
      <c r="I87" s="26" t="n">
        <v>2700</v>
      </c>
      <c r="J87" s="25" t="s">
        <v>178</v>
      </c>
      <c r="K87" s="25" t="s">
        <v>179</v>
      </c>
      <c r="L87" s="25" t="s">
        <v>180</v>
      </c>
      <c r="M87" s="24" t="s">
        <v>181</v>
      </c>
      <c r="N87" s="26" t="n">
        <v>0</v>
      </c>
      <c r="O87" s="26" t="n">
        <v>200</v>
      </c>
      <c r="P87" s="26" t="n">
        <v>200</v>
      </c>
      <c r="Q87" s="25" t="s">
        <v>182</v>
      </c>
    </row>
    <row r="88" customFormat="false" ht="15" hidden="false" customHeight="false" outlineLevel="0" collapsed="false">
      <c r="A88" s="24" t="s">
        <v>7</v>
      </c>
      <c r="B88" s="25" t="s">
        <v>2</v>
      </c>
      <c r="C88" s="24" t="s">
        <v>319</v>
      </c>
      <c r="D88" s="24" t="s">
        <v>320</v>
      </c>
      <c r="E88" s="25" t="s">
        <v>194</v>
      </c>
      <c r="F88" s="25" t="s">
        <v>145</v>
      </c>
      <c r="G88" s="26" t="n">
        <v>34900</v>
      </c>
      <c r="H88" s="26" t="n">
        <v>0</v>
      </c>
      <c r="I88" s="26" t="n">
        <v>34900</v>
      </c>
      <c r="J88" s="25" t="s">
        <v>185</v>
      </c>
      <c r="K88" s="25" t="s">
        <v>190</v>
      </c>
      <c r="L88" s="25" t="s">
        <v>180</v>
      </c>
      <c r="M88" s="24" t="s">
        <v>181</v>
      </c>
      <c r="N88" s="26" t="n">
        <v>0</v>
      </c>
      <c r="O88" s="26" t="n">
        <v>900</v>
      </c>
      <c r="P88" s="26" t="n">
        <v>900</v>
      </c>
      <c r="Q88" s="25" t="s">
        <v>182</v>
      </c>
    </row>
    <row r="89" customFormat="false" ht="15" hidden="false" customHeight="false" outlineLevel="0" collapsed="false">
      <c r="A89" s="24" t="s">
        <v>7</v>
      </c>
      <c r="B89" s="25" t="s">
        <v>2</v>
      </c>
      <c r="C89" s="24" t="s">
        <v>319</v>
      </c>
      <c r="D89" s="24" t="s">
        <v>321</v>
      </c>
      <c r="E89" s="24" t="s">
        <v>209</v>
      </c>
      <c r="F89" s="25" t="s">
        <v>142</v>
      </c>
      <c r="G89" s="26" t="n">
        <v>61200</v>
      </c>
      <c r="H89" s="26" t="n">
        <v>2900</v>
      </c>
      <c r="I89" s="26" t="n">
        <v>58300</v>
      </c>
      <c r="J89" s="25" t="s">
        <v>178</v>
      </c>
      <c r="K89" s="25" t="s">
        <v>179</v>
      </c>
      <c r="L89" s="25" t="s">
        <v>179</v>
      </c>
      <c r="M89" s="24" t="s">
        <v>193</v>
      </c>
      <c r="N89" s="26" t="n">
        <v>2900</v>
      </c>
      <c r="O89" s="26" t="n">
        <v>2900</v>
      </c>
      <c r="P89" s="26" t="n">
        <v>0</v>
      </c>
      <c r="Q89" s="24"/>
    </row>
    <row r="90" customFormat="false" ht="15" hidden="false" customHeight="false" outlineLevel="0" collapsed="false">
      <c r="A90" s="24" t="s">
        <v>7</v>
      </c>
      <c r="B90" s="25" t="s">
        <v>2</v>
      </c>
      <c r="C90" s="24" t="s">
        <v>319</v>
      </c>
      <c r="D90" s="24" t="s">
        <v>322</v>
      </c>
      <c r="E90" s="25" t="s">
        <v>214</v>
      </c>
      <c r="F90" s="25" t="s">
        <v>138</v>
      </c>
      <c r="G90" s="26" t="n">
        <v>39900</v>
      </c>
      <c r="H90" s="26" t="n">
        <v>1900</v>
      </c>
      <c r="I90" s="26" t="n">
        <v>38000</v>
      </c>
      <c r="J90" s="25" t="s">
        <v>185</v>
      </c>
      <c r="K90" s="25" t="s">
        <v>180</v>
      </c>
      <c r="L90" s="25" t="s">
        <v>180</v>
      </c>
      <c r="M90" s="24" t="s">
        <v>193</v>
      </c>
      <c r="N90" s="26" t="n">
        <v>1900</v>
      </c>
      <c r="O90" s="26" t="n">
        <v>1900</v>
      </c>
      <c r="P90" s="26" t="n">
        <v>0</v>
      </c>
      <c r="Q90" s="24"/>
    </row>
    <row r="91" customFormat="false" ht="15" hidden="false" customHeight="false" outlineLevel="0" collapsed="false">
      <c r="A91" s="24" t="s">
        <v>7</v>
      </c>
      <c r="B91" s="25" t="s">
        <v>2</v>
      </c>
      <c r="C91" s="24" t="s">
        <v>319</v>
      </c>
      <c r="D91" s="24" t="s">
        <v>323</v>
      </c>
      <c r="E91" s="24" t="s">
        <v>207</v>
      </c>
      <c r="F91" s="25" t="s">
        <v>154</v>
      </c>
      <c r="G91" s="26" t="n">
        <v>11700</v>
      </c>
      <c r="H91" s="26" t="n">
        <v>0</v>
      </c>
      <c r="I91" s="26" t="n">
        <v>11700</v>
      </c>
      <c r="J91" s="25" t="s">
        <v>185</v>
      </c>
      <c r="K91" s="25" t="s">
        <v>190</v>
      </c>
      <c r="L91" s="25" t="s">
        <v>180</v>
      </c>
      <c r="M91" s="24" t="s">
        <v>181</v>
      </c>
      <c r="N91" s="26" t="n">
        <v>0</v>
      </c>
      <c r="O91" s="26" t="n">
        <v>300</v>
      </c>
      <c r="P91" s="26" t="n">
        <v>300</v>
      </c>
      <c r="Q91" s="25" t="s">
        <v>182</v>
      </c>
    </row>
    <row r="92" customFormat="false" ht="15" hidden="false" customHeight="false" outlineLevel="0" collapsed="false">
      <c r="A92" s="24" t="s">
        <v>7</v>
      </c>
      <c r="B92" s="25" t="s">
        <v>2</v>
      </c>
      <c r="C92" s="24" t="s">
        <v>319</v>
      </c>
      <c r="D92" s="24" t="s">
        <v>324</v>
      </c>
      <c r="E92" s="25" t="s">
        <v>195</v>
      </c>
      <c r="F92" s="25" t="s">
        <v>144</v>
      </c>
      <c r="G92" s="26" t="n">
        <v>6000</v>
      </c>
      <c r="H92" s="26" t="n">
        <v>300</v>
      </c>
      <c r="I92" s="26" t="n">
        <v>5700</v>
      </c>
      <c r="J92" s="25" t="s">
        <v>185</v>
      </c>
      <c r="K92" s="25" t="s">
        <v>180</v>
      </c>
      <c r="L92" s="25" t="s">
        <v>180</v>
      </c>
      <c r="M92" s="24" t="s">
        <v>193</v>
      </c>
      <c r="N92" s="26" t="n">
        <v>300</v>
      </c>
      <c r="O92" s="26" t="n">
        <v>300</v>
      </c>
      <c r="P92" s="26" t="n">
        <v>0</v>
      </c>
      <c r="Q92" s="24"/>
    </row>
    <row r="93" customFormat="false" ht="15" hidden="false" customHeight="false" outlineLevel="0" collapsed="false">
      <c r="A93" s="24" t="s">
        <v>7</v>
      </c>
      <c r="B93" s="25" t="s">
        <v>2</v>
      </c>
      <c r="C93" s="24" t="s">
        <v>319</v>
      </c>
      <c r="D93" s="24" t="s">
        <v>325</v>
      </c>
      <c r="E93" s="25" t="s">
        <v>250</v>
      </c>
      <c r="F93" s="25" t="s">
        <v>251</v>
      </c>
      <c r="G93" s="26" t="n">
        <v>186100</v>
      </c>
      <c r="H93" s="26" t="n">
        <v>9000</v>
      </c>
      <c r="I93" s="26" t="n">
        <v>177100</v>
      </c>
      <c r="J93" s="25" t="s">
        <v>185</v>
      </c>
      <c r="K93" s="25" t="s">
        <v>180</v>
      </c>
      <c r="L93" s="25" t="s">
        <v>180</v>
      </c>
      <c r="M93" s="24" t="s">
        <v>193</v>
      </c>
      <c r="N93" s="26" t="n">
        <v>9000</v>
      </c>
      <c r="O93" s="26" t="n">
        <v>9000</v>
      </c>
      <c r="P93" s="26" t="n">
        <v>0</v>
      </c>
      <c r="Q93" s="24"/>
    </row>
    <row r="94" customFormat="false" ht="15" hidden="false" customHeight="false" outlineLevel="0" collapsed="false">
      <c r="A94" s="24" t="s">
        <v>7</v>
      </c>
      <c r="B94" s="25" t="s">
        <v>2</v>
      </c>
      <c r="C94" s="24" t="s">
        <v>319</v>
      </c>
      <c r="D94" s="24" t="s">
        <v>326</v>
      </c>
      <c r="E94" s="25" t="s">
        <v>206</v>
      </c>
      <c r="F94" s="25" t="s">
        <v>137</v>
      </c>
      <c r="G94" s="26" t="n">
        <v>21300</v>
      </c>
      <c r="H94" s="26" t="n">
        <v>0</v>
      </c>
      <c r="I94" s="26" t="n">
        <v>21300</v>
      </c>
      <c r="J94" s="25" t="s">
        <v>178</v>
      </c>
      <c r="K94" s="25" t="s">
        <v>179</v>
      </c>
      <c r="L94" s="25" t="s">
        <v>180</v>
      </c>
      <c r="M94" s="24" t="s">
        <v>181</v>
      </c>
      <c r="N94" s="26" t="n">
        <v>0</v>
      </c>
      <c r="O94" s="26" t="n">
        <v>500</v>
      </c>
      <c r="P94" s="26" t="n">
        <v>500</v>
      </c>
      <c r="Q94" s="25" t="s">
        <v>182</v>
      </c>
    </row>
    <row r="95" customFormat="false" ht="15" hidden="false" customHeight="false" outlineLevel="0" collapsed="false">
      <c r="A95" s="24" t="s">
        <v>7</v>
      </c>
      <c r="B95" s="25" t="s">
        <v>2</v>
      </c>
      <c r="C95" s="24" t="s">
        <v>319</v>
      </c>
      <c r="D95" s="24" t="s">
        <v>327</v>
      </c>
      <c r="E95" s="25" t="s">
        <v>188</v>
      </c>
      <c r="F95" s="25" t="s">
        <v>189</v>
      </c>
      <c r="G95" s="26" t="n">
        <v>13300</v>
      </c>
      <c r="H95" s="26" t="n">
        <v>0</v>
      </c>
      <c r="I95" s="26" t="n">
        <v>13300</v>
      </c>
      <c r="J95" s="25" t="s">
        <v>185</v>
      </c>
      <c r="K95" s="25" t="s">
        <v>190</v>
      </c>
      <c r="L95" s="25" t="s">
        <v>180</v>
      </c>
      <c r="M95" s="24" t="s">
        <v>181</v>
      </c>
      <c r="N95" s="26" t="n">
        <v>0</v>
      </c>
      <c r="O95" s="26" t="n">
        <v>300</v>
      </c>
      <c r="P95" s="26" t="n">
        <v>300</v>
      </c>
      <c r="Q95" s="25" t="s">
        <v>182</v>
      </c>
    </row>
    <row r="96" customFormat="false" ht="15" hidden="false" customHeight="false" outlineLevel="0" collapsed="false">
      <c r="A96" s="24" t="s">
        <v>7</v>
      </c>
      <c r="B96" s="25" t="s">
        <v>2</v>
      </c>
      <c r="C96" s="24" t="s">
        <v>319</v>
      </c>
      <c r="D96" s="24" t="s">
        <v>328</v>
      </c>
      <c r="E96" s="25" t="s">
        <v>202</v>
      </c>
      <c r="F96" s="25" t="s">
        <v>144</v>
      </c>
      <c r="G96" s="26" t="n">
        <v>16500</v>
      </c>
      <c r="H96" s="26" t="n">
        <v>0</v>
      </c>
      <c r="I96" s="26" t="n">
        <v>16500</v>
      </c>
      <c r="J96" s="25" t="s">
        <v>185</v>
      </c>
      <c r="K96" s="25" t="s">
        <v>190</v>
      </c>
      <c r="L96" s="25" t="s">
        <v>180</v>
      </c>
      <c r="M96" s="24" t="s">
        <v>181</v>
      </c>
      <c r="N96" s="26" t="n">
        <v>0</v>
      </c>
      <c r="O96" s="26" t="n">
        <v>400</v>
      </c>
      <c r="P96" s="26" t="n">
        <v>400</v>
      </c>
      <c r="Q96" s="25" t="s">
        <v>182</v>
      </c>
    </row>
    <row r="97" customFormat="false" ht="15" hidden="false" customHeight="false" outlineLevel="0" collapsed="false">
      <c r="A97" s="24" t="s">
        <v>7</v>
      </c>
      <c r="B97" s="25" t="s">
        <v>2</v>
      </c>
      <c r="C97" s="24" t="s">
        <v>319</v>
      </c>
      <c r="D97" s="24" t="s">
        <v>329</v>
      </c>
      <c r="E97" s="25" t="s">
        <v>223</v>
      </c>
      <c r="F97" s="25" t="s">
        <v>189</v>
      </c>
      <c r="G97" s="26" t="n">
        <v>16100</v>
      </c>
      <c r="H97" s="26" t="n">
        <v>0</v>
      </c>
      <c r="I97" s="26" t="n">
        <v>16100</v>
      </c>
      <c r="J97" s="25" t="s">
        <v>185</v>
      </c>
      <c r="K97" s="25" t="s">
        <v>180</v>
      </c>
      <c r="L97" s="25" t="s">
        <v>180</v>
      </c>
      <c r="M97" s="24" t="s">
        <v>186</v>
      </c>
      <c r="N97" s="26" t="n">
        <v>0</v>
      </c>
      <c r="O97" s="26" t="n">
        <v>400</v>
      </c>
      <c r="P97" s="26" t="n">
        <v>400</v>
      </c>
      <c r="Q97" s="25" t="s">
        <v>187</v>
      </c>
    </row>
    <row r="98" customFormat="false" ht="15" hidden="false" customHeight="false" outlineLevel="0" collapsed="false">
      <c r="A98" s="24" t="s">
        <v>7</v>
      </c>
      <c r="B98" s="25" t="s">
        <v>2</v>
      </c>
      <c r="C98" s="24" t="s">
        <v>319</v>
      </c>
      <c r="D98" s="24" t="s">
        <v>330</v>
      </c>
      <c r="E98" s="24" t="s">
        <v>331</v>
      </c>
      <c r="F98" s="25" t="s">
        <v>50</v>
      </c>
      <c r="G98" s="26" t="n">
        <v>6600</v>
      </c>
      <c r="H98" s="26" t="n">
        <v>0</v>
      </c>
      <c r="I98" s="26" t="n">
        <v>6600</v>
      </c>
      <c r="J98" s="25" t="s">
        <v>185</v>
      </c>
      <c r="K98" s="25" t="s">
        <v>190</v>
      </c>
      <c r="L98" s="25" t="s">
        <v>180</v>
      </c>
      <c r="M98" s="24" t="s">
        <v>181</v>
      </c>
      <c r="N98" s="26" t="n">
        <v>0</v>
      </c>
      <c r="O98" s="26" t="n">
        <v>200</v>
      </c>
      <c r="P98" s="26" t="n">
        <v>200</v>
      </c>
      <c r="Q98" s="25" t="s">
        <v>182</v>
      </c>
    </row>
    <row r="99" customFormat="false" ht="15" hidden="false" customHeight="false" outlineLevel="0" collapsed="false">
      <c r="A99" s="24" t="s">
        <v>7</v>
      </c>
      <c r="B99" s="25" t="s">
        <v>2</v>
      </c>
      <c r="C99" s="24" t="s">
        <v>319</v>
      </c>
      <c r="D99" s="24" t="s">
        <v>332</v>
      </c>
      <c r="E99" s="25" t="s">
        <v>48</v>
      </c>
      <c r="F99" s="25" t="s">
        <v>218</v>
      </c>
      <c r="G99" s="26" t="n">
        <v>61000</v>
      </c>
      <c r="H99" s="26" t="n">
        <v>0</v>
      </c>
      <c r="I99" s="26" t="n">
        <v>61000</v>
      </c>
      <c r="J99" s="25" t="s">
        <v>185</v>
      </c>
      <c r="K99" s="25" t="s">
        <v>180</v>
      </c>
      <c r="L99" s="25" t="s">
        <v>180</v>
      </c>
      <c r="M99" s="24" t="s">
        <v>186</v>
      </c>
      <c r="N99" s="26" t="n">
        <v>0</v>
      </c>
      <c r="O99" s="26" t="n">
        <v>1500</v>
      </c>
      <c r="P99" s="26" t="n">
        <v>1500</v>
      </c>
      <c r="Q99" s="25" t="s">
        <v>187</v>
      </c>
    </row>
    <row r="100" customFormat="false" ht="15" hidden="false" customHeight="false" outlineLevel="0" collapsed="false">
      <c r="A100" s="24" t="s">
        <v>7</v>
      </c>
      <c r="B100" s="25" t="s">
        <v>2</v>
      </c>
      <c r="C100" s="24" t="s">
        <v>319</v>
      </c>
      <c r="D100" s="24" t="s">
        <v>333</v>
      </c>
      <c r="E100" s="25" t="s">
        <v>219</v>
      </c>
      <c r="F100" s="25" t="s">
        <v>137</v>
      </c>
      <c r="G100" s="26" t="n">
        <v>25900</v>
      </c>
      <c r="H100" s="26" t="n">
        <v>0</v>
      </c>
      <c r="I100" s="26" t="n">
        <v>25900</v>
      </c>
      <c r="J100" s="25" t="s">
        <v>185</v>
      </c>
      <c r="K100" s="25" t="s">
        <v>180</v>
      </c>
      <c r="L100" s="25" t="s">
        <v>180</v>
      </c>
      <c r="M100" s="24" t="s">
        <v>186</v>
      </c>
      <c r="N100" s="26" t="n">
        <v>0</v>
      </c>
      <c r="O100" s="26" t="n">
        <v>700</v>
      </c>
      <c r="P100" s="26" t="n">
        <v>700</v>
      </c>
      <c r="Q100" s="25" t="s">
        <v>187</v>
      </c>
    </row>
    <row r="101" customFormat="false" ht="15" hidden="false" customHeight="false" outlineLevel="0" collapsed="false">
      <c r="A101" s="24" t="s">
        <v>7</v>
      </c>
      <c r="B101" s="25" t="s">
        <v>2</v>
      </c>
      <c r="C101" s="24" t="s">
        <v>319</v>
      </c>
      <c r="D101" s="24" t="s">
        <v>334</v>
      </c>
      <c r="E101" s="25" t="s">
        <v>215</v>
      </c>
      <c r="F101" s="25" t="s">
        <v>145</v>
      </c>
      <c r="G101" s="26" t="n">
        <v>33400</v>
      </c>
      <c r="H101" s="26" t="n">
        <v>0</v>
      </c>
      <c r="I101" s="26" t="n">
        <v>33400</v>
      </c>
      <c r="J101" s="25" t="s">
        <v>185</v>
      </c>
      <c r="K101" s="25" t="s">
        <v>180</v>
      </c>
      <c r="L101" s="25" t="s">
        <v>180</v>
      </c>
      <c r="M101" s="24" t="s">
        <v>186</v>
      </c>
      <c r="N101" s="26" t="n">
        <v>0</v>
      </c>
      <c r="O101" s="26" t="n">
        <v>800</v>
      </c>
      <c r="P101" s="26" t="n">
        <v>800</v>
      </c>
      <c r="Q101" s="25" t="s">
        <v>187</v>
      </c>
    </row>
    <row r="102" customFormat="false" ht="15" hidden="false" customHeight="false" outlineLevel="0" collapsed="false">
      <c r="A102" s="24" t="s">
        <v>7</v>
      </c>
      <c r="B102" s="25" t="s">
        <v>2</v>
      </c>
      <c r="C102" s="24" t="s">
        <v>319</v>
      </c>
      <c r="D102" s="24" t="s">
        <v>335</v>
      </c>
      <c r="E102" s="25" t="s">
        <v>224</v>
      </c>
      <c r="F102" s="25" t="s">
        <v>189</v>
      </c>
      <c r="G102" s="26" t="n">
        <v>6000</v>
      </c>
      <c r="H102" s="26" t="n">
        <v>0</v>
      </c>
      <c r="I102" s="26" t="n">
        <v>6000</v>
      </c>
      <c r="J102" s="25" t="s">
        <v>185</v>
      </c>
      <c r="K102" s="25" t="s">
        <v>190</v>
      </c>
      <c r="L102" s="25" t="s">
        <v>180</v>
      </c>
      <c r="M102" s="24" t="s">
        <v>181</v>
      </c>
      <c r="N102" s="26" t="n">
        <v>0</v>
      </c>
      <c r="O102" s="26" t="n">
        <v>200</v>
      </c>
      <c r="P102" s="26" t="n">
        <v>200</v>
      </c>
      <c r="Q102" s="25" t="s">
        <v>182</v>
      </c>
    </row>
    <row r="103" customFormat="false" ht="15" hidden="false" customHeight="false" outlineLevel="0" collapsed="false">
      <c r="A103" s="24" t="s">
        <v>7</v>
      </c>
      <c r="B103" s="25" t="s">
        <v>2</v>
      </c>
      <c r="C103" s="24" t="s">
        <v>319</v>
      </c>
      <c r="D103" s="24" t="s">
        <v>336</v>
      </c>
      <c r="E103" s="25" t="s">
        <v>216</v>
      </c>
      <c r="F103" s="25" t="s">
        <v>144</v>
      </c>
      <c r="G103" s="26" t="n">
        <v>18500</v>
      </c>
      <c r="H103" s="26" t="n">
        <v>0</v>
      </c>
      <c r="I103" s="26" t="n">
        <v>18500</v>
      </c>
      <c r="J103" s="25" t="s">
        <v>185</v>
      </c>
      <c r="K103" s="25" t="s">
        <v>180</v>
      </c>
      <c r="L103" s="25" t="s">
        <v>180</v>
      </c>
      <c r="M103" s="24" t="s">
        <v>186</v>
      </c>
      <c r="N103" s="26" t="n">
        <v>0</v>
      </c>
      <c r="O103" s="26" t="n">
        <v>500</v>
      </c>
      <c r="P103" s="26" t="n">
        <v>500</v>
      </c>
      <c r="Q103" s="25" t="s">
        <v>187</v>
      </c>
    </row>
    <row r="104" customFormat="false" ht="15" hidden="false" customHeight="false" outlineLevel="0" collapsed="false">
      <c r="A104" s="24" t="s">
        <v>7</v>
      </c>
      <c r="B104" s="25" t="s">
        <v>2</v>
      </c>
      <c r="C104" s="24" t="s">
        <v>319</v>
      </c>
      <c r="D104" s="24" t="s">
        <v>337</v>
      </c>
      <c r="E104" s="24" t="s">
        <v>204</v>
      </c>
      <c r="F104" s="25" t="s">
        <v>205</v>
      </c>
      <c r="G104" s="26" t="n">
        <v>31200</v>
      </c>
      <c r="H104" s="26" t="n">
        <v>0</v>
      </c>
      <c r="I104" s="26" t="n">
        <v>31200</v>
      </c>
      <c r="J104" s="25" t="s">
        <v>185</v>
      </c>
      <c r="K104" s="25" t="s">
        <v>180</v>
      </c>
      <c r="L104" s="25" t="s">
        <v>179</v>
      </c>
      <c r="M104" s="24" t="s">
        <v>181</v>
      </c>
      <c r="N104" s="26" t="n">
        <v>0</v>
      </c>
      <c r="O104" s="26" t="n">
        <v>800</v>
      </c>
      <c r="P104" s="26" t="n">
        <v>800</v>
      </c>
      <c r="Q104" s="25" t="s">
        <v>182</v>
      </c>
    </row>
    <row r="105" customFormat="false" ht="15" hidden="false" customHeight="false" outlineLevel="0" collapsed="false">
      <c r="A105" s="24" t="s">
        <v>7</v>
      </c>
      <c r="B105" s="25" t="s">
        <v>2</v>
      </c>
      <c r="C105" s="24" t="s">
        <v>319</v>
      </c>
      <c r="D105" s="24" t="s">
        <v>338</v>
      </c>
      <c r="E105" s="25" t="s">
        <v>201</v>
      </c>
      <c r="F105" s="25" t="s">
        <v>134</v>
      </c>
      <c r="G105" s="26" t="n">
        <v>78200</v>
      </c>
      <c r="H105" s="26" t="n">
        <v>0</v>
      </c>
      <c r="I105" s="26" t="n">
        <v>78200</v>
      </c>
      <c r="J105" s="25" t="s">
        <v>185</v>
      </c>
      <c r="K105" s="25" t="s">
        <v>180</v>
      </c>
      <c r="L105" s="25" t="s">
        <v>180</v>
      </c>
      <c r="M105" s="24" t="s">
        <v>186</v>
      </c>
      <c r="N105" s="26" t="n">
        <v>0</v>
      </c>
      <c r="O105" s="26" t="n">
        <v>2100</v>
      </c>
      <c r="P105" s="26" t="n">
        <v>2100</v>
      </c>
      <c r="Q105" s="25" t="s">
        <v>187</v>
      </c>
    </row>
    <row r="106" customFormat="false" ht="15" hidden="false" customHeight="false" outlineLevel="0" collapsed="false">
      <c r="A106" s="24" t="s">
        <v>7</v>
      </c>
      <c r="B106" s="25" t="s">
        <v>2</v>
      </c>
      <c r="C106" s="24" t="s">
        <v>319</v>
      </c>
      <c r="D106" s="24" t="s">
        <v>339</v>
      </c>
      <c r="E106" s="25" t="s">
        <v>220</v>
      </c>
      <c r="F106" s="25" t="s">
        <v>144</v>
      </c>
      <c r="G106" s="26" t="n">
        <v>20400</v>
      </c>
      <c r="H106" s="26" t="n">
        <v>0</v>
      </c>
      <c r="I106" s="26" t="n">
        <v>20400</v>
      </c>
      <c r="J106" s="25" t="s">
        <v>185</v>
      </c>
      <c r="K106" s="25" t="s">
        <v>180</v>
      </c>
      <c r="L106" s="25" t="s">
        <v>180</v>
      </c>
      <c r="M106" s="24" t="s">
        <v>186</v>
      </c>
      <c r="N106" s="26" t="n">
        <v>0</v>
      </c>
      <c r="O106" s="26" t="n">
        <v>500</v>
      </c>
      <c r="P106" s="26" t="n">
        <v>500</v>
      </c>
      <c r="Q106" s="25" t="s">
        <v>187</v>
      </c>
    </row>
    <row r="107" customFormat="false" ht="15" hidden="false" customHeight="false" outlineLevel="0" collapsed="false">
      <c r="A107" s="24" t="s">
        <v>7</v>
      </c>
      <c r="B107" s="25" t="s">
        <v>2</v>
      </c>
      <c r="C107" s="24" t="s">
        <v>319</v>
      </c>
      <c r="D107" s="24" t="s">
        <v>340</v>
      </c>
      <c r="E107" s="25" t="s">
        <v>177</v>
      </c>
      <c r="F107" s="25" t="s">
        <v>140</v>
      </c>
      <c r="G107" s="26" t="n">
        <v>56500</v>
      </c>
      <c r="H107" s="26" t="n">
        <v>0</v>
      </c>
      <c r="I107" s="26" t="n">
        <v>56500</v>
      </c>
      <c r="J107" s="25" t="s">
        <v>185</v>
      </c>
      <c r="K107" s="25" t="s">
        <v>180</v>
      </c>
      <c r="L107" s="25" t="s">
        <v>180</v>
      </c>
      <c r="M107" s="24" t="s">
        <v>186</v>
      </c>
      <c r="N107" s="26" t="n">
        <v>0</v>
      </c>
      <c r="O107" s="26" t="n">
        <v>1400</v>
      </c>
      <c r="P107" s="26" t="n">
        <v>1400</v>
      </c>
      <c r="Q107" s="25" t="s">
        <v>187</v>
      </c>
    </row>
    <row r="108" customFormat="false" ht="15" hidden="false" customHeight="false" outlineLevel="0" collapsed="false">
      <c r="A108" s="24" t="s">
        <v>7</v>
      </c>
      <c r="B108" s="25" t="s">
        <v>2</v>
      </c>
      <c r="C108" s="24" t="s">
        <v>319</v>
      </c>
      <c r="D108" s="24" t="s">
        <v>341</v>
      </c>
      <c r="E108" s="25" t="s">
        <v>192</v>
      </c>
      <c r="F108" s="25" t="s">
        <v>147</v>
      </c>
      <c r="G108" s="26" t="n">
        <v>21800</v>
      </c>
      <c r="H108" s="26" t="n">
        <v>0</v>
      </c>
      <c r="I108" s="26" t="n">
        <v>21800</v>
      </c>
      <c r="J108" s="25" t="s">
        <v>185</v>
      </c>
      <c r="K108" s="25" t="s">
        <v>190</v>
      </c>
      <c r="L108" s="25" t="s">
        <v>180</v>
      </c>
      <c r="M108" s="24" t="s">
        <v>181</v>
      </c>
      <c r="N108" s="26" t="n">
        <v>0</v>
      </c>
      <c r="O108" s="26" t="n">
        <v>600</v>
      </c>
      <c r="P108" s="26" t="n">
        <v>600</v>
      </c>
      <c r="Q108" s="25" t="s">
        <v>182</v>
      </c>
    </row>
    <row r="109" customFormat="false" ht="15" hidden="false" customHeight="false" outlineLevel="0" collapsed="false">
      <c r="A109" s="24" t="s">
        <v>7</v>
      </c>
      <c r="B109" s="25" t="s">
        <v>2</v>
      </c>
      <c r="C109" s="24" t="s">
        <v>319</v>
      </c>
      <c r="D109" s="24" t="s">
        <v>342</v>
      </c>
      <c r="E109" s="25" t="s">
        <v>281</v>
      </c>
      <c r="F109" s="25" t="s">
        <v>138</v>
      </c>
      <c r="G109" s="26" t="n">
        <v>37400</v>
      </c>
      <c r="H109" s="26" t="n">
        <v>0</v>
      </c>
      <c r="I109" s="26" t="n">
        <v>37400</v>
      </c>
      <c r="J109" s="25" t="s">
        <v>185</v>
      </c>
      <c r="K109" s="25" t="s">
        <v>180</v>
      </c>
      <c r="L109" s="25" t="s">
        <v>180</v>
      </c>
      <c r="M109" s="24" t="s">
        <v>186</v>
      </c>
      <c r="N109" s="26" t="n">
        <v>0</v>
      </c>
      <c r="O109" s="26" t="n">
        <v>900</v>
      </c>
      <c r="P109" s="26" t="n">
        <v>900</v>
      </c>
      <c r="Q109" s="25" t="s">
        <v>187</v>
      </c>
    </row>
    <row r="110" customFormat="false" ht="15" hidden="false" customHeight="false" outlineLevel="0" collapsed="false">
      <c r="A110" s="24" t="s">
        <v>7</v>
      </c>
      <c r="B110" s="25" t="s">
        <v>2</v>
      </c>
      <c r="C110" s="24" t="s">
        <v>319</v>
      </c>
      <c r="D110" s="24" t="s">
        <v>343</v>
      </c>
      <c r="E110" s="25" t="s">
        <v>260</v>
      </c>
      <c r="F110" s="25" t="s">
        <v>189</v>
      </c>
      <c r="G110" s="26" t="n">
        <v>14400</v>
      </c>
      <c r="H110" s="26" t="n">
        <v>0</v>
      </c>
      <c r="I110" s="26" t="n">
        <v>14400</v>
      </c>
      <c r="J110" s="25" t="s">
        <v>185</v>
      </c>
      <c r="K110" s="25" t="s">
        <v>190</v>
      </c>
      <c r="L110" s="25" t="s">
        <v>180</v>
      </c>
      <c r="M110" s="24" t="s">
        <v>181</v>
      </c>
      <c r="N110" s="26" t="n">
        <v>0</v>
      </c>
      <c r="O110" s="26" t="n">
        <v>400</v>
      </c>
      <c r="P110" s="26" t="n">
        <v>400</v>
      </c>
      <c r="Q110" s="25" t="s">
        <v>182</v>
      </c>
    </row>
    <row r="111" customFormat="false" ht="15" hidden="false" customHeight="false" outlineLevel="0" collapsed="false">
      <c r="A111" s="24" t="s">
        <v>7</v>
      </c>
      <c r="B111" s="25" t="s">
        <v>2</v>
      </c>
      <c r="C111" s="24" t="s">
        <v>319</v>
      </c>
      <c r="D111" s="24" t="s">
        <v>344</v>
      </c>
      <c r="E111" s="25" t="s">
        <v>222</v>
      </c>
      <c r="F111" s="25" t="s">
        <v>137</v>
      </c>
      <c r="G111" s="26" t="n">
        <v>36300</v>
      </c>
      <c r="H111" s="26" t="n">
        <v>0</v>
      </c>
      <c r="I111" s="26" t="n">
        <v>36300</v>
      </c>
      <c r="J111" s="25" t="s">
        <v>185</v>
      </c>
      <c r="K111" s="25" t="s">
        <v>190</v>
      </c>
      <c r="L111" s="25" t="s">
        <v>180</v>
      </c>
      <c r="M111" s="24" t="s">
        <v>181</v>
      </c>
      <c r="N111" s="26" t="n">
        <v>0</v>
      </c>
      <c r="O111" s="26" t="n">
        <v>900</v>
      </c>
      <c r="P111" s="26" t="n">
        <v>900</v>
      </c>
      <c r="Q111" s="25" t="s">
        <v>182</v>
      </c>
    </row>
    <row r="112" customFormat="false" ht="15" hidden="false" customHeight="false" outlineLevel="0" collapsed="false">
      <c r="A112" s="24" t="s">
        <v>7</v>
      </c>
      <c r="B112" s="25" t="s">
        <v>2</v>
      </c>
      <c r="C112" s="24" t="s">
        <v>319</v>
      </c>
      <c r="D112" s="24" t="s">
        <v>345</v>
      </c>
      <c r="E112" s="25" t="s">
        <v>346</v>
      </c>
      <c r="F112" s="25" t="s">
        <v>143</v>
      </c>
      <c r="G112" s="26" t="n">
        <v>43600</v>
      </c>
      <c r="H112" s="26" t="n">
        <v>0</v>
      </c>
      <c r="I112" s="26" t="n">
        <v>43600</v>
      </c>
      <c r="J112" s="25" t="s">
        <v>185</v>
      </c>
      <c r="K112" s="25" t="s">
        <v>180</v>
      </c>
      <c r="L112" s="25" t="s">
        <v>180</v>
      </c>
      <c r="M112" s="24" t="s">
        <v>186</v>
      </c>
      <c r="N112" s="26" t="n">
        <v>0</v>
      </c>
      <c r="O112" s="26" t="n">
        <v>1100</v>
      </c>
      <c r="P112" s="26" t="n">
        <v>1100</v>
      </c>
      <c r="Q112" s="25" t="s">
        <v>187</v>
      </c>
    </row>
    <row r="113" customFormat="false" ht="15" hidden="false" customHeight="false" outlineLevel="0" collapsed="false">
      <c r="A113" s="24" t="s">
        <v>7</v>
      </c>
      <c r="B113" s="25" t="s">
        <v>2</v>
      </c>
      <c r="C113" s="24" t="s">
        <v>319</v>
      </c>
      <c r="D113" s="24" t="s">
        <v>347</v>
      </c>
      <c r="E113" s="25" t="s">
        <v>277</v>
      </c>
      <c r="F113" s="25" t="s">
        <v>145</v>
      </c>
      <c r="G113" s="26" t="n">
        <v>21600</v>
      </c>
      <c r="H113" s="26" t="n">
        <v>0</v>
      </c>
      <c r="I113" s="26" t="n">
        <v>21600</v>
      </c>
      <c r="J113" s="25" t="s">
        <v>185</v>
      </c>
      <c r="K113" s="25" t="s">
        <v>190</v>
      </c>
      <c r="L113" s="25" t="s">
        <v>180</v>
      </c>
      <c r="M113" s="24" t="s">
        <v>181</v>
      </c>
      <c r="N113" s="26" t="n">
        <v>0</v>
      </c>
      <c r="O113" s="26" t="n">
        <v>500</v>
      </c>
      <c r="P113" s="26" t="n">
        <v>500</v>
      </c>
      <c r="Q113" s="25" t="s">
        <v>182</v>
      </c>
    </row>
    <row r="114" customFormat="false" ht="15" hidden="false" customHeight="false" outlineLevel="0" collapsed="false">
      <c r="A114" s="24" t="s">
        <v>7</v>
      </c>
      <c r="B114" s="25" t="s">
        <v>2</v>
      </c>
      <c r="C114" s="24" t="s">
        <v>319</v>
      </c>
      <c r="D114" s="24" t="s">
        <v>348</v>
      </c>
      <c r="E114" s="25" t="s">
        <v>199</v>
      </c>
      <c r="F114" s="25" t="s">
        <v>200</v>
      </c>
      <c r="G114" s="26" t="n">
        <v>69000</v>
      </c>
      <c r="H114" s="26" t="n">
        <v>0</v>
      </c>
      <c r="I114" s="26" t="n">
        <v>69000</v>
      </c>
      <c r="J114" s="25" t="s">
        <v>185</v>
      </c>
      <c r="K114" s="25" t="s">
        <v>190</v>
      </c>
      <c r="L114" s="25" t="s">
        <v>180</v>
      </c>
      <c r="M114" s="24" t="s">
        <v>181</v>
      </c>
      <c r="N114" s="26" t="n">
        <v>0</v>
      </c>
      <c r="O114" s="26" t="n">
        <v>1700</v>
      </c>
      <c r="P114" s="26" t="n">
        <v>1700</v>
      </c>
      <c r="Q114" s="25" t="s">
        <v>182</v>
      </c>
    </row>
    <row r="115" customFormat="false" ht="15" hidden="false" customHeight="false" outlineLevel="0" collapsed="false">
      <c r="A115" s="24" t="s">
        <v>7</v>
      </c>
      <c r="B115" s="25" t="s">
        <v>2</v>
      </c>
      <c r="C115" s="24" t="s">
        <v>319</v>
      </c>
      <c r="D115" s="24" t="s">
        <v>349</v>
      </c>
      <c r="E115" s="25" t="s">
        <v>292</v>
      </c>
      <c r="F115" s="25" t="s">
        <v>144</v>
      </c>
      <c r="G115" s="26" t="n">
        <v>21000</v>
      </c>
      <c r="H115" s="26" t="n">
        <v>0</v>
      </c>
      <c r="I115" s="26" t="n">
        <v>21000</v>
      </c>
      <c r="J115" s="25" t="s">
        <v>185</v>
      </c>
      <c r="K115" s="25" t="s">
        <v>190</v>
      </c>
      <c r="L115" s="25" t="s">
        <v>180</v>
      </c>
      <c r="M115" s="24" t="s">
        <v>181</v>
      </c>
      <c r="N115" s="26" t="n">
        <v>0</v>
      </c>
      <c r="O115" s="26" t="n">
        <v>500</v>
      </c>
      <c r="P115" s="26" t="n">
        <v>500</v>
      </c>
      <c r="Q115" s="25" t="s">
        <v>182</v>
      </c>
    </row>
    <row r="116" customFormat="false" ht="15" hidden="false" customHeight="false" outlineLevel="0" collapsed="false">
      <c r="A116" s="24" t="s">
        <v>7</v>
      </c>
      <c r="B116" s="25" t="s">
        <v>2</v>
      </c>
      <c r="C116" s="24" t="s">
        <v>319</v>
      </c>
      <c r="D116" s="24" t="s">
        <v>350</v>
      </c>
      <c r="E116" s="25" t="s">
        <v>264</v>
      </c>
      <c r="F116" s="25" t="s">
        <v>137</v>
      </c>
      <c r="G116" s="26" t="n">
        <v>28900</v>
      </c>
      <c r="H116" s="26" t="n">
        <v>0</v>
      </c>
      <c r="I116" s="26" t="n">
        <v>28900</v>
      </c>
      <c r="J116" s="25" t="s">
        <v>185</v>
      </c>
      <c r="K116" s="25" t="s">
        <v>190</v>
      </c>
      <c r="L116" s="25" t="s">
        <v>180</v>
      </c>
      <c r="M116" s="24" t="s">
        <v>181</v>
      </c>
      <c r="N116" s="26" t="n">
        <v>0</v>
      </c>
      <c r="O116" s="26" t="n">
        <v>700</v>
      </c>
      <c r="P116" s="26" t="n">
        <v>700</v>
      </c>
      <c r="Q116" s="25" t="s">
        <v>182</v>
      </c>
    </row>
    <row r="117" customFormat="false" ht="15" hidden="false" customHeight="false" outlineLevel="0" collapsed="false">
      <c r="A117" s="24" t="s">
        <v>7</v>
      </c>
      <c r="B117" s="25" t="s">
        <v>2</v>
      </c>
      <c r="C117" s="24" t="s">
        <v>319</v>
      </c>
      <c r="D117" s="24" t="s">
        <v>351</v>
      </c>
      <c r="E117" s="25" t="s">
        <v>352</v>
      </c>
      <c r="F117" s="25" t="s">
        <v>150</v>
      </c>
      <c r="G117" s="26" t="n">
        <v>75200</v>
      </c>
      <c r="H117" s="26" t="n">
        <v>0</v>
      </c>
      <c r="I117" s="26" t="n">
        <v>75200</v>
      </c>
      <c r="J117" s="25" t="s">
        <v>185</v>
      </c>
      <c r="K117" s="25" t="s">
        <v>190</v>
      </c>
      <c r="L117" s="25" t="s">
        <v>180</v>
      </c>
      <c r="M117" s="24" t="s">
        <v>181</v>
      </c>
      <c r="N117" s="26" t="n">
        <v>0</v>
      </c>
      <c r="O117" s="26" t="n">
        <v>2000</v>
      </c>
      <c r="P117" s="26" t="n">
        <v>2000</v>
      </c>
      <c r="Q117" s="25" t="s">
        <v>182</v>
      </c>
    </row>
    <row r="118" customFormat="false" ht="15" hidden="false" customHeight="false" outlineLevel="0" collapsed="false">
      <c r="A118" s="24" t="s">
        <v>7</v>
      </c>
      <c r="B118" s="25" t="s">
        <v>2</v>
      </c>
      <c r="C118" s="24" t="s">
        <v>319</v>
      </c>
      <c r="D118" s="24" t="s">
        <v>353</v>
      </c>
      <c r="E118" s="25" t="s">
        <v>211</v>
      </c>
      <c r="F118" s="25" t="s">
        <v>212</v>
      </c>
      <c r="G118" s="26" t="n">
        <v>14800</v>
      </c>
      <c r="H118" s="26" t="n">
        <v>0</v>
      </c>
      <c r="I118" s="26" t="n">
        <v>14800</v>
      </c>
      <c r="J118" s="25" t="s">
        <v>178</v>
      </c>
      <c r="K118" s="25" t="s">
        <v>179</v>
      </c>
      <c r="L118" s="25" t="s">
        <v>179</v>
      </c>
      <c r="M118" s="24" t="s">
        <v>186</v>
      </c>
      <c r="N118" s="26" t="n">
        <v>0</v>
      </c>
      <c r="O118" s="26" t="n">
        <v>400</v>
      </c>
      <c r="P118" s="26" t="n">
        <v>400</v>
      </c>
      <c r="Q118" s="25" t="s">
        <v>187</v>
      </c>
    </row>
    <row r="119" customFormat="false" ht="15" hidden="false" customHeight="false" outlineLevel="0" collapsed="false">
      <c r="A119" s="24" t="s">
        <v>7</v>
      </c>
      <c r="B119" s="25" t="s">
        <v>2</v>
      </c>
      <c r="C119" s="24" t="s">
        <v>319</v>
      </c>
      <c r="D119" s="24" t="s">
        <v>354</v>
      </c>
      <c r="E119" s="25" t="s">
        <v>188</v>
      </c>
      <c r="F119" s="25" t="s">
        <v>189</v>
      </c>
      <c r="G119" s="26" t="n">
        <v>8300</v>
      </c>
      <c r="H119" s="26" t="n">
        <v>0</v>
      </c>
      <c r="I119" s="26" t="n">
        <v>8300</v>
      </c>
      <c r="J119" s="25" t="s">
        <v>178</v>
      </c>
      <c r="K119" s="25" t="s">
        <v>179</v>
      </c>
      <c r="L119" s="25" t="s">
        <v>179</v>
      </c>
      <c r="M119" s="24" t="s">
        <v>186</v>
      </c>
      <c r="N119" s="26" t="n">
        <v>0</v>
      </c>
      <c r="O119" s="26" t="n">
        <v>200</v>
      </c>
      <c r="P119" s="26" t="n">
        <v>200</v>
      </c>
      <c r="Q119" s="25" t="s">
        <v>187</v>
      </c>
    </row>
    <row r="120" customFormat="false" ht="15" hidden="false" customHeight="false" outlineLevel="0" collapsed="false">
      <c r="A120" s="24" t="s">
        <v>7</v>
      </c>
      <c r="B120" s="25" t="s">
        <v>2</v>
      </c>
      <c r="C120" s="24" t="s">
        <v>319</v>
      </c>
      <c r="D120" s="24" t="s">
        <v>355</v>
      </c>
      <c r="E120" s="24" t="s">
        <v>275</v>
      </c>
      <c r="F120" s="25" t="s">
        <v>154</v>
      </c>
      <c r="G120" s="26" t="n">
        <v>13400</v>
      </c>
      <c r="H120" s="26" t="n">
        <v>0</v>
      </c>
      <c r="I120" s="26" t="n">
        <v>13400</v>
      </c>
      <c r="J120" s="25" t="s">
        <v>185</v>
      </c>
      <c r="K120" s="25" t="s">
        <v>180</v>
      </c>
      <c r="L120" s="25" t="s">
        <v>180</v>
      </c>
      <c r="M120" s="24" t="s">
        <v>186</v>
      </c>
      <c r="N120" s="26" t="n">
        <v>0</v>
      </c>
      <c r="O120" s="26" t="n">
        <v>300</v>
      </c>
      <c r="P120" s="26" t="n">
        <v>300</v>
      </c>
      <c r="Q120" s="25" t="s">
        <v>187</v>
      </c>
    </row>
    <row r="121" customFormat="false" ht="15" hidden="false" customHeight="false" outlineLevel="0" collapsed="false">
      <c r="A121" s="24" t="s">
        <v>7</v>
      </c>
      <c r="B121" s="25" t="s">
        <v>2</v>
      </c>
      <c r="C121" s="24" t="s">
        <v>319</v>
      </c>
      <c r="D121" s="24" t="s">
        <v>356</v>
      </c>
      <c r="E121" s="25" t="s">
        <v>283</v>
      </c>
      <c r="F121" s="25" t="s">
        <v>137</v>
      </c>
      <c r="G121" s="26" t="n">
        <v>23500</v>
      </c>
      <c r="H121" s="26" t="n">
        <v>0</v>
      </c>
      <c r="I121" s="26" t="n">
        <v>23500</v>
      </c>
      <c r="J121" s="25" t="s">
        <v>185</v>
      </c>
      <c r="K121" s="25" t="s">
        <v>180</v>
      </c>
      <c r="L121" s="25" t="s">
        <v>180</v>
      </c>
      <c r="M121" s="24" t="s">
        <v>186</v>
      </c>
      <c r="N121" s="26" t="n">
        <v>0</v>
      </c>
      <c r="O121" s="26" t="n">
        <v>600</v>
      </c>
      <c r="P121" s="26" t="n">
        <v>600</v>
      </c>
      <c r="Q121" s="25" t="s">
        <v>187</v>
      </c>
    </row>
    <row r="122" customFormat="false" ht="15" hidden="false" customHeight="false" outlineLevel="0" collapsed="false">
      <c r="A122" s="24" t="s">
        <v>8</v>
      </c>
      <c r="B122" s="25" t="s">
        <v>3</v>
      </c>
      <c r="C122" s="24" t="s">
        <v>175</v>
      </c>
      <c r="D122" s="24" t="s">
        <v>176</v>
      </c>
      <c r="E122" s="25" t="s">
        <v>48</v>
      </c>
      <c r="F122" s="25" t="s">
        <v>218</v>
      </c>
      <c r="G122" s="26" t="n">
        <v>83200</v>
      </c>
      <c r="H122" s="26" t="n">
        <v>6400</v>
      </c>
      <c r="I122" s="26" t="n">
        <v>76800</v>
      </c>
      <c r="J122" s="25" t="s">
        <v>185</v>
      </c>
      <c r="K122" s="25" t="s">
        <v>357</v>
      </c>
      <c r="L122" s="25" t="s">
        <v>357</v>
      </c>
      <c r="M122" s="24" t="s">
        <v>193</v>
      </c>
      <c r="N122" s="26" t="n">
        <v>6400</v>
      </c>
      <c r="O122" s="26" t="n">
        <v>6400</v>
      </c>
      <c r="P122" s="26" t="n">
        <v>0</v>
      </c>
      <c r="Q122" s="24"/>
    </row>
    <row r="123" customFormat="false" ht="15" hidden="false" customHeight="false" outlineLevel="0" collapsed="false">
      <c r="A123" s="24" t="s">
        <v>8</v>
      </c>
      <c r="B123" s="25" t="s">
        <v>3</v>
      </c>
      <c r="C123" s="24" t="s">
        <v>175</v>
      </c>
      <c r="D123" s="24" t="s">
        <v>176</v>
      </c>
      <c r="E123" s="24" t="s">
        <v>358</v>
      </c>
      <c r="F123" s="25" t="s">
        <v>135</v>
      </c>
      <c r="G123" s="26" t="n">
        <v>67600</v>
      </c>
      <c r="H123" s="26" t="n">
        <v>5300</v>
      </c>
      <c r="I123" s="26" t="n">
        <v>62300</v>
      </c>
      <c r="J123" s="25" t="s">
        <v>185</v>
      </c>
      <c r="K123" s="25" t="s">
        <v>359</v>
      </c>
      <c r="L123" s="25" t="s">
        <v>359</v>
      </c>
      <c r="M123" s="24" t="s">
        <v>193</v>
      </c>
      <c r="N123" s="26" t="n">
        <v>5300</v>
      </c>
      <c r="O123" s="26" t="n">
        <v>5300</v>
      </c>
      <c r="P123" s="26" t="n">
        <v>0</v>
      </c>
      <c r="Q123" s="24"/>
    </row>
    <row r="124" customFormat="false" ht="15" hidden="false" customHeight="false" outlineLevel="0" collapsed="false">
      <c r="A124" s="24" t="s">
        <v>8</v>
      </c>
      <c r="B124" s="25" t="s">
        <v>3</v>
      </c>
      <c r="C124" s="24" t="s">
        <v>175</v>
      </c>
      <c r="D124" s="24" t="s">
        <v>191</v>
      </c>
      <c r="E124" s="25" t="s">
        <v>194</v>
      </c>
      <c r="F124" s="25" t="s">
        <v>145</v>
      </c>
      <c r="G124" s="26" t="n">
        <v>65400</v>
      </c>
      <c r="H124" s="26" t="n">
        <v>0</v>
      </c>
      <c r="I124" s="26" t="n">
        <v>65400</v>
      </c>
      <c r="J124" s="25" t="s">
        <v>185</v>
      </c>
      <c r="K124" s="25" t="s">
        <v>357</v>
      </c>
      <c r="L124" s="25" t="s">
        <v>357</v>
      </c>
      <c r="M124" s="24" t="s">
        <v>186</v>
      </c>
      <c r="N124" s="26" t="n">
        <v>0</v>
      </c>
      <c r="O124" s="26" t="n">
        <v>1400</v>
      </c>
      <c r="P124" s="26" t="n">
        <v>1400</v>
      </c>
      <c r="Q124" s="25" t="s">
        <v>187</v>
      </c>
    </row>
    <row r="125" customFormat="false" ht="15" hidden="false" customHeight="false" outlineLevel="0" collapsed="false">
      <c r="A125" s="24" t="s">
        <v>8</v>
      </c>
      <c r="B125" s="25" t="s">
        <v>3</v>
      </c>
      <c r="C125" s="24" t="s">
        <v>175</v>
      </c>
      <c r="D125" s="24" t="s">
        <v>191</v>
      </c>
      <c r="E125" s="25" t="s">
        <v>188</v>
      </c>
      <c r="F125" s="25" t="s">
        <v>189</v>
      </c>
      <c r="G125" s="26" t="n">
        <v>53200</v>
      </c>
      <c r="H125" s="26" t="n">
        <v>0</v>
      </c>
      <c r="I125" s="26" t="n">
        <v>53200</v>
      </c>
      <c r="J125" s="25" t="s">
        <v>185</v>
      </c>
      <c r="K125" s="25" t="s">
        <v>359</v>
      </c>
      <c r="L125" s="25" t="s">
        <v>357</v>
      </c>
      <c r="M125" s="24" t="s">
        <v>181</v>
      </c>
      <c r="N125" s="26" t="n">
        <v>0</v>
      </c>
      <c r="O125" s="26" t="n">
        <v>1100</v>
      </c>
      <c r="P125" s="26" t="n">
        <v>1100</v>
      </c>
      <c r="Q125" s="25" t="s">
        <v>182</v>
      </c>
    </row>
    <row r="126" customFormat="false" ht="15" hidden="false" customHeight="false" outlineLevel="0" collapsed="false">
      <c r="A126" s="24" t="s">
        <v>8</v>
      </c>
      <c r="B126" s="25" t="s">
        <v>3</v>
      </c>
      <c r="C126" s="24" t="s">
        <v>175</v>
      </c>
      <c r="D126" s="24" t="s">
        <v>198</v>
      </c>
      <c r="E126" s="25" t="s">
        <v>360</v>
      </c>
      <c r="F126" s="25" t="s">
        <v>184</v>
      </c>
      <c r="G126" s="26" t="n">
        <v>95100</v>
      </c>
      <c r="H126" s="26" t="n">
        <v>0</v>
      </c>
      <c r="I126" s="26" t="n">
        <v>95100</v>
      </c>
      <c r="J126" s="25" t="s">
        <v>185</v>
      </c>
      <c r="K126" s="25" t="s">
        <v>357</v>
      </c>
      <c r="L126" s="25" t="s">
        <v>357</v>
      </c>
      <c r="M126" s="24" t="s">
        <v>186</v>
      </c>
      <c r="N126" s="26" t="n">
        <v>0</v>
      </c>
      <c r="O126" s="26" t="n">
        <v>2000</v>
      </c>
      <c r="P126" s="26" t="n">
        <v>2000</v>
      </c>
      <c r="Q126" s="25" t="s">
        <v>187</v>
      </c>
    </row>
    <row r="127" customFormat="false" ht="15" hidden="false" customHeight="false" outlineLevel="0" collapsed="false">
      <c r="A127" s="24" t="s">
        <v>8</v>
      </c>
      <c r="B127" s="25" t="s">
        <v>3</v>
      </c>
      <c r="C127" s="24" t="s">
        <v>175</v>
      </c>
      <c r="D127" s="24" t="s">
        <v>198</v>
      </c>
      <c r="E127" s="24" t="s">
        <v>209</v>
      </c>
      <c r="F127" s="25" t="s">
        <v>142</v>
      </c>
      <c r="G127" s="26" t="n">
        <v>77300</v>
      </c>
      <c r="H127" s="26" t="n">
        <v>0</v>
      </c>
      <c r="I127" s="26" t="n">
        <v>77300</v>
      </c>
      <c r="J127" s="25" t="s">
        <v>185</v>
      </c>
      <c r="K127" s="25" t="s">
        <v>359</v>
      </c>
      <c r="L127" s="25" t="s">
        <v>357</v>
      </c>
      <c r="M127" s="24" t="s">
        <v>181</v>
      </c>
      <c r="N127" s="26" t="n">
        <v>0</v>
      </c>
      <c r="O127" s="26" t="n">
        <v>1600</v>
      </c>
      <c r="P127" s="26" t="n">
        <v>1600</v>
      </c>
      <c r="Q127" s="25" t="s">
        <v>182</v>
      </c>
    </row>
    <row r="128" customFormat="false" ht="15" hidden="false" customHeight="false" outlineLevel="0" collapsed="false">
      <c r="A128" s="24" t="s">
        <v>8</v>
      </c>
      <c r="B128" s="25" t="s">
        <v>3</v>
      </c>
      <c r="C128" s="24" t="s">
        <v>175</v>
      </c>
      <c r="D128" s="24" t="s">
        <v>203</v>
      </c>
      <c r="E128" s="25" t="s">
        <v>211</v>
      </c>
      <c r="F128" s="25" t="s">
        <v>212</v>
      </c>
      <c r="G128" s="26" t="n">
        <v>53500</v>
      </c>
      <c r="H128" s="26" t="n">
        <v>0</v>
      </c>
      <c r="I128" s="26" t="n">
        <v>53500</v>
      </c>
      <c r="J128" s="25" t="s">
        <v>185</v>
      </c>
      <c r="K128" s="25" t="s">
        <v>357</v>
      </c>
      <c r="L128" s="25" t="s">
        <v>357</v>
      </c>
      <c r="M128" s="24" t="s">
        <v>186</v>
      </c>
      <c r="N128" s="26" t="n">
        <v>0</v>
      </c>
      <c r="O128" s="26" t="n">
        <v>1100</v>
      </c>
      <c r="P128" s="26" t="n">
        <v>1100</v>
      </c>
      <c r="Q128" s="25" t="s">
        <v>187</v>
      </c>
    </row>
    <row r="129" customFormat="false" ht="15" hidden="false" customHeight="false" outlineLevel="0" collapsed="false">
      <c r="A129" s="24" t="s">
        <v>8</v>
      </c>
      <c r="B129" s="25" t="s">
        <v>3</v>
      </c>
      <c r="C129" s="24" t="s">
        <v>175</v>
      </c>
      <c r="D129" s="24" t="s">
        <v>203</v>
      </c>
      <c r="E129" s="24" t="s">
        <v>207</v>
      </c>
      <c r="F129" s="25" t="s">
        <v>154</v>
      </c>
      <c r="G129" s="26" t="n">
        <v>43400</v>
      </c>
      <c r="H129" s="26" t="n">
        <v>3400</v>
      </c>
      <c r="I129" s="26" t="n">
        <v>40000</v>
      </c>
      <c r="J129" s="25" t="s">
        <v>185</v>
      </c>
      <c r="K129" s="25" t="s">
        <v>359</v>
      </c>
      <c r="L129" s="25" t="s">
        <v>359</v>
      </c>
      <c r="M129" s="24" t="s">
        <v>193</v>
      </c>
      <c r="N129" s="26" t="n">
        <v>3400</v>
      </c>
      <c r="O129" s="26" t="n">
        <v>3400</v>
      </c>
      <c r="P129" s="26" t="n">
        <v>0</v>
      </c>
      <c r="Q129" s="24"/>
    </row>
    <row r="130" customFormat="false" ht="15" hidden="false" customHeight="false" outlineLevel="0" collapsed="false">
      <c r="A130" s="24" t="s">
        <v>8</v>
      </c>
      <c r="B130" s="25" t="s">
        <v>3</v>
      </c>
      <c r="C130" s="24" t="s">
        <v>175</v>
      </c>
      <c r="D130" s="24" t="s">
        <v>208</v>
      </c>
      <c r="E130" s="25" t="s">
        <v>195</v>
      </c>
      <c r="F130" s="25" t="s">
        <v>144</v>
      </c>
      <c r="G130" s="26" t="n">
        <v>77300</v>
      </c>
      <c r="H130" s="26" t="n">
        <v>0</v>
      </c>
      <c r="I130" s="26" t="n">
        <v>77300</v>
      </c>
      <c r="J130" s="25" t="s">
        <v>185</v>
      </c>
      <c r="K130" s="25" t="s">
        <v>357</v>
      </c>
      <c r="L130" s="25" t="s">
        <v>357</v>
      </c>
      <c r="M130" s="24" t="s">
        <v>186</v>
      </c>
      <c r="N130" s="26" t="n">
        <v>0</v>
      </c>
      <c r="O130" s="26" t="n">
        <v>1600</v>
      </c>
      <c r="P130" s="26" t="n">
        <v>1600</v>
      </c>
      <c r="Q130" s="25" t="s">
        <v>187</v>
      </c>
    </row>
    <row r="131" customFormat="false" ht="15" hidden="false" customHeight="false" outlineLevel="0" collapsed="false">
      <c r="A131" s="24" t="s">
        <v>8</v>
      </c>
      <c r="B131" s="25" t="s">
        <v>3</v>
      </c>
      <c r="C131" s="24" t="s">
        <v>175</v>
      </c>
      <c r="D131" s="24" t="s">
        <v>208</v>
      </c>
      <c r="E131" s="25" t="s">
        <v>206</v>
      </c>
      <c r="F131" s="25" t="s">
        <v>137</v>
      </c>
      <c r="G131" s="26" t="n">
        <v>62800</v>
      </c>
      <c r="H131" s="26" t="n">
        <v>0</v>
      </c>
      <c r="I131" s="26" t="n">
        <v>62800</v>
      </c>
      <c r="J131" s="25" t="s">
        <v>185</v>
      </c>
      <c r="K131" s="25" t="s">
        <v>359</v>
      </c>
      <c r="L131" s="25" t="s">
        <v>357</v>
      </c>
      <c r="M131" s="24" t="s">
        <v>181</v>
      </c>
      <c r="N131" s="26" t="n">
        <v>0</v>
      </c>
      <c r="O131" s="26" t="n">
        <v>1300</v>
      </c>
      <c r="P131" s="26" t="n">
        <v>1300</v>
      </c>
      <c r="Q131" s="25" t="s">
        <v>182</v>
      </c>
    </row>
    <row r="132" customFormat="false" ht="15" hidden="false" customHeight="false" outlineLevel="0" collapsed="false">
      <c r="A132" s="24" t="s">
        <v>8</v>
      </c>
      <c r="B132" s="25" t="s">
        <v>3</v>
      </c>
      <c r="C132" s="24" t="s">
        <v>175</v>
      </c>
      <c r="D132" s="24" t="s">
        <v>213</v>
      </c>
      <c r="E132" s="25" t="s">
        <v>219</v>
      </c>
      <c r="F132" s="25" t="s">
        <v>137</v>
      </c>
      <c r="G132" s="26" t="n">
        <v>71300</v>
      </c>
      <c r="H132" s="26" t="n">
        <v>0</v>
      </c>
      <c r="I132" s="26" t="n">
        <v>71300</v>
      </c>
      <c r="J132" s="25" t="s">
        <v>185</v>
      </c>
      <c r="K132" s="25" t="s">
        <v>357</v>
      </c>
      <c r="L132" s="25" t="s">
        <v>357</v>
      </c>
      <c r="M132" s="24" t="s">
        <v>186</v>
      </c>
      <c r="N132" s="26" t="n">
        <v>0</v>
      </c>
      <c r="O132" s="26" t="n">
        <v>1500</v>
      </c>
      <c r="P132" s="26" t="n">
        <v>1500</v>
      </c>
      <c r="Q132" s="25" t="s">
        <v>187</v>
      </c>
    </row>
    <row r="133" customFormat="false" ht="15" hidden="false" customHeight="false" outlineLevel="0" collapsed="false">
      <c r="A133" s="24" t="s">
        <v>8</v>
      </c>
      <c r="B133" s="25" t="s">
        <v>3</v>
      </c>
      <c r="C133" s="24" t="s">
        <v>175</v>
      </c>
      <c r="D133" s="24" t="s">
        <v>213</v>
      </c>
      <c r="E133" s="25" t="s">
        <v>222</v>
      </c>
      <c r="F133" s="25" t="s">
        <v>137</v>
      </c>
      <c r="G133" s="26" t="n">
        <v>57900</v>
      </c>
      <c r="H133" s="26" t="n">
        <v>0</v>
      </c>
      <c r="I133" s="26" t="n">
        <v>57900</v>
      </c>
      <c r="J133" s="25" t="s">
        <v>185</v>
      </c>
      <c r="K133" s="25" t="s">
        <v>359</v>
      </c>
      <c r="L133" s="25" t="s">
        <v>357</v>
      </c>
      <c r="M133" s="24" t="s">
        <v>181</v>
      </c>
      <c r="N133" s="26" t="n">
        <v>0</v>
      </c>
      <c r="O133" s="26" t="n">
        <v>1200</v>
      </c>
      <c r="P133" s="26" t="n">
        <v>1200</v>
      </c>
      <c r="Q133" s="25" t="s">
        <v>182</v>
      </c>
    </row>
    <row r="134" customFormat="false" ht="15" hidden="false" customHeight="false" outlineLevel="0" collapsed="false">
      <c r="A134" s="24" t="s">
        <v>8</v>
      </c>
      <c r="B134" s="25" t="s">
        <v>3</v>
      </c>
      <c r="C134" s="24" t="s">
        <v>175</v>
      </c>
      <c r="D134" s="24" t="s">
        <v>217</v>
      </c>
      <c r="E134" s="25" t="s">
        <v>201</v>
      </c>
      <c r="F134" s="25" t="s">
        <v>134</v>
      </c>
      <c r="G134" s="26" t="n">
        <v>89100</v>
      </c>
      <c r="H134" s="26" t="n">
        <v>0</v>
      </c>
      <c r="I134" s="26" t="n">
        <v>89100</v>
      </c>
      <c r="J134" s="25" t="s">
        <v>185</v>
      </c>
      <c r="K134" s="25" t="s">
        <v>357</v>
      </c>
      <c r="L134" s="25" t="s">
        <v>357</v>
      </c>
      <c r="M134" s="24" t="s">
        <v>186</v>
      </c>
      <c r="N134" s="26" t="n">
        <v>0</v>
      </c>
      <c r="O134" s="26" t="n">
        <v>1800</v>
      </c>
      <c r="P134" s="26" t="n">
        <v>1800</v>
      </c>
      <c r="Q134" s="25" t="s">
        <v>187</v>
      </c>
    </row>
    <row r="135" customFormat="false" ht="15" hidden="false" customHeight="false" outlineLevel="0" collapsed="false">
      <c r="A135" s="24" t="s">
        <v>8</v>
      </c>
      <c r="B135" s="25" t="s">
        <v>3</v>
      </c>
      <c r="C135" s="24" t="s">
        <v>175</v>
      </c>
      <c r="D135" s="24" t="s">
        <v>217</v>
      </c>
      <c r="E135" s="24" t="s">
        <v>361</v>
      </c>
      <c r="F135" s="25" t="s">
        <v>135</v>
      </c>
      <c r="G135" s="26" t="n">
        <v>72400</v>
      </c>
      <c r="H135" s="26" t="n">
        <v>0</v>
      </c>
      <c r="I135" s="26" t="n">
        <v>72400</v>
      </c>
      <c r="J135" s="25" t="s">
        <v>185</v>
      </c>
      <c r="K135" s="25" t="s">
        <v>359</v>
      </c>
      <c r="L135" s="25" t="s">
        <v>359</v>
      </c>
      <c r="M135" s="24" t="s">
        <v>186</v>
      </c>
      <c r="N135" s="26" t="n">
        <v>0</v>
      </c>
      <c r="O135" s="26" t="n">
        <v>1500</v>
      </c>
      <c r="P135" s="26" t="n">
        <v>1500</v>
      </c>
      <c r="Q135" s="25" t="s">
        <v>187</v>
      </c>
    </row>
    <row r="136" customFormat="false" ht="15" hidden="false" customHeight="false" outlineLevel="0" collapsed="false">
      <c r="A136" s="24" t="s">
        <v>8</v>
      </c>
      <c r="B136" s="25" t="s">
        <v>3</v>
      </c>
      <c r="C136" s="24" t="s">
        <v>175</v>
      </c>
      <c r="D136" s="24" t="s">
        <v>221</v>
      </c>
      <c r="E136" s="25" t="s">
        <v>214</v>
      </c>
      <c r="F136" s="25" t="s">
        <v>138</v>
      </c>
      <c r="G136" s="26" t="n">
        <v>59400</v>
      </c>
      <c r="H136" s="26" t="n">
        <v>0</v>
      </c>
      <c r="I136" s="26" t="n">
        <v>59400</v>
      </c>
      <c r="J136" s="25" t="s">
        <v>185</v>
      </c>
      <c r="K136" s="25" t="s">
        <v>357</v>
      </c>
      <c r="L136" s="25" t="s">
        <v>357</v>
      </c>
      <c r="M136" s="24" t="s">
        <v>186</v>
      </c>
      <c r="N136" s="26" t="n">
        <v>0</v>
      </c>
      <c r="O136" s="26" t="n">
        <v>1200</v>
      </c>
      <c r="P136" s="26" t="n">
        <v>1200</v>
      </c>
      <c r="Q136" s="25" t="s">
        <v>187</v>
      </c>
    </row>
    <row r="137" customFormat="false" ht="15" hidden="false" customHeight="false" outlineLevel="0" collapsed="false">
      <c r="A137" s="24" t="s">
        <v>8</v>
      </c>
      <c r="B137" s="25" t="s">
        <v>3</v>
      </c>
      <c r="C137" s="24" t="s">
        <v>175</v>
      </c>
      <c r="D137" s="24" t="s">
        <v>221</v>
      </c>
      <c r="E137" s="25" t="s">
        <v>223</v>
      </c>
      <c r="F137" s="25" t="s">
        <v>189</v>
      </c>
      <c r="G137" s="26" t="n">
        <v>48300</v>
      </c>
      <c r="H137" s="26" t="n">
        <v>0</v>
      </c>
      <c r="I137" s="26" t="n">
        <v>48300</v>
      </c>
      <c r="J137" s="25" t="s">
        <v>185</v>
      </c>
      <c r="K137" s="25" t="s">
        <v>359</v>
      </c>
      <c r="L137" s="25" t="s">
        <v>359</v>
      </c>
      <c r="M137" s="24" t="s">
        <v>186</v>
      </c>
      <c r="N137" s="26" t="n">
        <v>0</v>
      </c>
      <c r="O137" s="26" t="n">
        <v>1000</v>
      </c>
      <c r="P137" s="26" t="n">
        <v>1000</v>
      </c>
      <c r="Q137" s="25" t="s">
        <v>187</v>
      </c>
    </row>
    <row r="138" customFormat="false" ht="15" hidden="false" customHeight="false" outlineLevel="0" collapsed="false">
      <c r="A138" s="24" t="s">
        <v>8</v>
      </c>
      <c r="B138" s="25" t="s">
        <v>3</v>
      </c>
      <c r="C138" s="24" t="s">
        <v>225</v>
      </c>
      <c r="D138" s="24" t="s">
        <v>362</v>
      </c>
      <c r="E138" s="24" t="s">
        <v>358</v>
      </c>
      <c r="F138" s="25" t="s">
        <v>135</v>
      </c>
      <c r="G138" s="26" t="n">
        <v>40600</v>
      </c>
      <c r="H138" s="26" t="n">
        <v>0</v>
      </c>
      <c r="I138" s="26" t="n">
        <v>40600</v>
      </c>
      <c r="J138" s="25" t="s">
        <v>185</v>
      </c>
      <c r="K138" s="25" t="s">
        <v>357</v>
      </c>
      <c r="L138" s="25" t="s">
        <v>357</v>
      </c>
      <c r="M138" s="24" t="s">
        <v>186</v>
      </c>
      <c r="N138" s="26" t="n">
        <v>0</v>
      </c>
      <c r="O138" s="26" t="n">
        <v>1100</v>
      </c>
      <c r="P138" s="26" t="n">
        <v>1100</v>
      </c>
      <c r="Q138" s="25" t="s">
        <v>187</v>
      </c>
    </row>
    <row r="139" customFormat="false" ht="15" hidden="false" customHeight="false" outlineLevel="0" collapsed="false">
      <c r="A139" s="24" t="s">
        <v>8</v>
      </c>
      <c r="B139" s="25" t="s">
        <v>3</v>
      </c>
      <c r="C139" s="24" t="s">
        <v>225</v>
      </c>
      <c r="D139" s="24" t="s">
        <v>363</v>
      </c>
      <c r="E139" s="24" t="s">
        <v>207</v>
      </c>
      <c r="F139" s="25" t="s">
        <v>154</v>
      </c>
      <c r="G139" s="26" t="n">
        <v>6200</v>
      </c>
      <c r="H139" s="26" t="n">
        <v>0</v>
      </c>
      <c r="I139" s="26" t="n">
        <v>6200</v>
      </c>
      <c r="J139" s="25" t="s">
        <v>185</v>
      </c>
      <c r="K139" s="25" t="s">
        <v>357</v>
      </c>
      <c r="L139" s="25" t="s">
        <v>357</v>
      </c>
      <c r="M139" s="24" t="s">
        <v>186</v>
      </c>
      <c r="N139" s="26" t="n">
        <v>0</v>
      </c>
      <c r="O139" s="26" t="n">
        <v>200</v>
      </c>
      <c r="P139" s="26" t="n">
        <v>200</v>
      </c>
      <c r="Q139" s="25" t="s">
        <v>187</v>
      </c>
    </row>
    <row r="140" customFormat="false" ht="15" hidden="false" customHeight="false" outlineLevel="0" collapsed="false">
      <c r="A140" s="24" t="s">
        <v>8</v>
      </c>
      <c r="B140" s="25" t="s">
        <v>3</v>
      </c>
      <c r="C140" s="24" t="s">
        <v>225</v>
      </c>
      <c r="D140" s="24" t="s">
        <v>364</v>
      </c>
      <c r="E140" s="25" t="s">
        <v>201</v>
      </c>
      <c r="F140" s="25" t="s">
        <v>134</v>
      </c>
      <c r="G140" s="26" t="n">
        <v>31600</v>
      </c>
      <c r="H140" s="26" t="n">
        <v>1300</v>
      </c>
      <c r="I140" s="26" t="n">
        <v>30300</v>
      </c>
      <c r="J140" s="25" t="s">
        <v>185</v>
      </c>
      <c r="K140" s="25" t="s">
        <v>357</v>
      </c>
      <c r="L140" s="25" t="s">
        <v>357</v>
      </c>
      <c r="M140" s="24" t="s">
        <v>193</v>
      </c>
      <c r="N140" s="26" t="n">
        <v>1300</v>
      </c>
      <c r="O140" s="26" t="n">
        <v>1300</v>
      </c>
      <c r="P140" s="26" t="n">
        <v>0</v>
      </c>
      <c r="Q140" s="24"/>
    </row>
    <row r="141" customFormat="false" ht="15" hidden="false" customHeight="false" outlineLevel="0" collapsed="false">
      <c r="A141" s="24" t="s">
        <v>8</v>
      </c>
      <c r="B141" s="25" t="s">
        <v>3</v>
      </c>
      <c r="C141" s="24" t="s">
        <v>225</v>
      </c>
      <c r="D141" s="24" t="s">
        <v>365</v>
      </c>
      <c r="E141" s="25" t="s">
        <v>210</v>
      </c>
      <c r="F141" s="25" t="s">
        <v>136</v>
      </c>
      <c r="G141" s="26" t="n">
        <v>241000</v>
      </c>
      <c r="H141" s="26" t="n">
        <v>10300</v>
      </c>
      <c r="I141" s="26" t="n">
        <v>230700</v>
      </c>
      <c r="J141" s="25" t="s">
        <v>185</v>
      </c>
      <c r="K141" s="25" t="s">
        <v>357</v>
      </c>
      <c r="L141" s="25" t="s">
        <v>357</v>
      </c>
      <c r="M141" s="24" t="s">
        <v>193</v>
      </c>
      <c r="N141" s="26" t="n">
        <v>10300</v>
      </c>
      <c r="O141" s="26" t="n">
        <v>10300</v>
      </c>
      <c r="P141" s="26" t="n">
        <v>0</v>
      </c>
      <c r="Q141" s="24"/>
    </row>
    <row r="142" customFormat="false" ht="15" hidden="false" customHeight="false" outlineLevel="0" collapsed="false">
      <c r="A142" s="24" t="s">
        <v>8</v>
      </c>
      <c r="B142" s="25" t="s">
        <v>3</v>
      </c>
      <c r="C142" s="24" t="s">
        <v>225</v>
      </c>
      <c r="D142" s="24" t="s">
        <v>366</v>
      </c>
      <c r="E142" s="24" t="s">
        <v>275</v>
      </c>
      <c r="F142" s="25" t="s">
        <v>154</v>
      </c>
      <c r="G142" s="26" t="n">
        <v>3300</v>
      </c>
      <c r="H142" s="26" t="n">
        <v>0</v>
      </c>
      <c r="I142" s="26" t="n">
        <v>3300</v>
      </c>
      <c r="J142" s="25" t="s">
        <v>185</v>
      </c>
      <c r="K142" s="25" t="s">
        <v>357</v>
      </c>
      <c r="L142" s="25" t="s">
        <v>357</v>
      </c>
      <c r="M142" s="24" t="s">
        <v>186</v>
      </c>
      <c r="N142" s="26" t="n">
        <v>0</v>
      </c>
      <c r="O142" s="26" t="n">
        <v>100</v>
      </c>
      <c r="P142" s="26" t="n">
        <v>100</v>
      </c>
      <c r="Q142" s="25" t="s">
        <v>187</v>
      </c>
    </row>
    <row r="143" customFormat="false" ht="15" hidden="false" customHeight="false" outlineLevel="0" collapsed="false">
      <c r="A143" s="24" t="s">
        <v>8</v>
      </c>
      <c r="B143" s="25" t="s">
        <v>3</v>
      </c>
      <c r="C143" s="24" t="s">
        <v>225</v>
      </c>
      <c r="D143" s="24" t="s">
        <v>367</v>
      </c>
      <c r="E143" s="25" t="s">
        <v>188</v>
      </c>
      <c r="F143" s="25" t="s">
        <v>189</v>
      </c>
      <c r="G143" s="26" t="n">
        <v>5500</v>
      </c>
      <c r="H143" s="26" t="n">
        <v>0</v>
      </c>
      <c r="I143" s="26" t="n">
        <v>5500</v>
      </c>
      <c r="J143" s="25" t="s">
        <v>185</v>
      </c>
      <c r="K143" s="25" t="s">
        <v>357</v>
      </c>
      <c r="L143" s="25" t="s">
        <v>357</v>
      </c>
      <c r="M143" s="24" t="s">
        <v>186</v>
      </c>
      <c r="N143" s="26" t="n">
        <v>0</v>
      </c>
      <c r="O143" s="26" t="n">
        <v>200</v>
      </c>
      <c r="P143" s="26" t="n">
        <v>200</v>
      </c>
      <c r="Q143" s="25" t="s">
        <v>187</v>
      </c>
    </row>
    <row r="144" customFormat="false" ht="15" hidden="false" customHeight="false" outlineLevel="0" collapsed="false">
      <c r="A144" s="24" t="s">
        <v>8</v>
      </c>
      <c r="B144" s="25" t="s">
        <v>3</v>
      </c>
      <c r="C144" s="24" t="s">
        <v>225</v>
      </c>
      <c r="D144" s="24" t="s">
        <v>368</v>
      </c>
      <c r="E144" s="25" t="s">
        <v>192</v>
      </c>
      <c r="F144" s="25" t="s">
        <v>147</v>
      </c>
      <c r="G144" s="26" t="n">
        <v>17200</v>
      </c>
      <c r="H144" s="26" t="n">
        <v>0</v>
      </c>
      <c r="I144" s="26" t="n">
        <v>17200</v>
      </c>
      <c r="J144" s="25" t="s">
        <v>185</v>
      </c>
      <c r="K144" s="25" t="s">
        <v>357</v>
      </c>
      <c r="L144" s="25" t="s">
        <v>357</v>
      </c>
      <c r="M144" s="24" t="s">
        <v>186</v>
      </c>
      <c r="N144" s="26" t="n">
        <v>0</v>
      </c>
      <c r="O144" s="26" t="n">
        <v>500</v>
      </c>
      <c r="P144" s="26" t="n">
        <v>500</v>
      </c>
      <c r="Q144" s="25" t="s">
        <v>187</v>
      </c>
    </row>
    <row r="145" customFormat="false" ht="15" hidden="false" customHeight="false" outlineLevel="0" collapsed="false">
      <c r="A145" s="24" t="s">
        <v>8</v>
      </c>
      <c r="B145" s="25" t="s">
        <v>3</v>
      </c>
      <c r="C145" s="24" t="s">
        <v>225</v>
      </c>
      <c r="D145" s="24" t="s">
        <v>369</v>
      </c>
      <c r="E145" s="25" t="s">
        <v>206</v>
      </c>
      <c r="F145" s="25" t="s">
        <v>137</v>
      </c>
      <c r="G145" s="26" t="n">
        <v>7200</v>
      </c>
      <c r="H145" s="26" t="n">
        <v>0</v>
      </c>
      <c r="I145" s="26" t="n">
        <v>7200</v>
      </c>
      <c r="J145" s="25" t="s">
        <v>185</v>
      </c>
      <c r="K145" s="25" t="s">
        <v>357</v>
      </c>
      <c r="L145" s="25" t="s">
        <v>357</v>
      </c>
      <c r="M145" s="24" t="s">
        <v>186</v>
      </c>
      <c r="N145" s="26" t="n">
        <v>0</v>
      </c>
      <c r="O145" s="26" t="n">
        <v>200</v>
      </c>
      <c r="P145" s="26" t="n">
        <v>200</v>
      </c>
      <c r="Q145" s="25" t="s">
        <v>187</v>
      </c>
    </row>
    <row r="146" customFormat="false" ht="15" hidden="false" customHeight="false" outlineLevel="0" collapsed="false">
      <c r="A146" s="24" t="s">
        <v>8</v>
      </c>
      <c r="B146" s="25" t="s">
        <v>3</v>
      </c>
      <c r="C146" s="24" t="s">
        <v>225</v>
      </c>
      <c r="D146" s="24" t="s">
        <v>370</v>
      </c>
      <c r="E146" s="25" t="s">
        <v>258</v>
      </c>
      <c r="F146" s="25" t="s">
        <v>147</v>
      </c>
      <c r="G146" s="26" t="n">
        <v>26200</v>
      </c>
      <c r="H146" s="26" t="n">
        <v>1100</v>
      </c>
      <c r="I146" s="26" t="n">
        <v>25100</v>
      </c>
      <c r="J146" s="25" t="s">
        <v>185</v>
      </c>
      <c r="K146" s="25" t="s">
        <v>357</v>
      </c>
      <c r="L146" s="25" t="s">
        <v>357</v>
      </c>
      <c r="M146" s="24" t="s">
        <v>193</v>
      </c>
      <c r="N146" s="26" t="n">
        <v>1100</v>
      </c>
      <c r="O146" s="26" t="n">
        <v>1100</v>
      </c>
      <c r="P146" s="26" t="n">
        <v>0</v>
      </c>
      <c r="Q146" s="24"/>
    </row>
    <row r="147" customFormat="false" ht="15" hidden="false" customHeight="false" outlineLevel="0" collapsed="false">
      <c r="A147" s="24" t="s">
        <v>8</v>
      </c>
      <c r="B147" s="25" t="s">
        <v>3</v>
      </c>
      <c r="C147" s="24" t="s">
        <v>225</v>
      </c>
      <c r="D147" s="24" t="s">
        <v>371</v>
      </c>
      <c r="E147" s="24" t="s">
        <v>253</v>
      </c>
      <c r="F147" s="25" t="s">
        <v>153</v>
      </c>
      <c r="G147" s="26" t="n">
        <v>10200</v>
      </c>
      <c r="H147" s="26" t="n">
        <v>0</v>
      </c>
      <c r="I147" s="26" t="n">
        <v>10200</v>
      </c>
      <c r="J147" s="25" t="s">
        <v>185</v>
      </c>
      <c r="K147" s="25" t="s">
        <v>359</v>
      </c>
      <c r="L147" s="25" t="s">
        <v>357</v>
      </c>
      <c r="M147" s="24" t="s">
        <v>181</v>
      </c>
      <c r="N147" s="26" t="n">
        <v>0</v>
      </c>
      <c r="O147" s="26" t="n">
        <v>300</v>
      </c>
      <c r="P147" s="26" t="n">
        <v>300</v>
      </c>
      <c r="Q147" s="25" t="s">
        <v>182</v>
      </c>
    </row>
    <row r="148" customFormat="false" ht="15" hidden="false" customHeight="false" outlineLevel="0" collapsed="false">
      <c r="A148" s="24" t="s">
        <v>8</v>
      </c>
      <c r="B148" s="25" t="s">
        <v>3</v>
      </c>
      <c r="C148" s="24" t="s">
        <v>225</v>
      </c>
      <c r="D148" s="24" t="s">
        <v>372</v>
      </c>
      <c r="E148" s="24" t="s">
        <v>361</v>
      </c>
      <c r="F148" s="25" t="s">
        <v>135</v>
      </c>
      <c r="G148" s="26" t="n">
        <v>51000</v>
      </c>
      <c r="H148" s="26" t="n">
        <v>0</v>
      </c>
      <c r="I148" s="26" t="n">
        <v>51000</v>
      </c>
      <c r="J148" s="25" t="s">
        <v>185</v>
      </c>
      <c r="K148" s="25" t="s">
        <v>359</v>
      </c>
      <c r="L148" s="25" t="s">
        <v>359</v>
      </c>
      <c r="M148" s="24" t="s">
        <v>186</v>
      </c>
      <c r="N148" s="26" t="n">
        <v>0</v>
      </c>
      <c r="O148" s="26" t="n">
        <v>1300</v>
      </c>
      <c r="P148" s="26" t="n">
        <v>1300</v>
      </c>
      <c r="Q148" s="25" t="s">
        <v>187</v>
      </c>
    </row>
    <row r="149" customFormat="false" ht="15" hidden="false" customHeight="false" outlineLevel="0" collapsed="false">
      <c r="A149" s="24" t="s">
        <v>8</v>
      </c>
      <c r="B149" s="25" t="s">
        <v>3</v>
      </c>
      <c r="C149" s="24" t="s">
        <v>225</v>
      </c>
      <c r="D149" s="24" t="s">
        <v>373</v>
      </c>
      <c r="E149" s="25" t="s">
        <v>194</v>
      </c>
      <c r="F149" s="25" t="s">
        <v>145</v>
      </c>
      <c r="G149" s="26" t="n">
        <v>4600</v>
      </c>
      <c r="H149" s="26" t="n">
        <v>0</v>
      </c>
      <c r="I149" s="26" t="n">
        <v>4600</v>
      </c>
      <c r="J149" s="25" t="s">
        <v>185</v>
      </c>
      <c r="K149" s="25" t="s">
        <v>357</v>
      </c>
      <c r="L149" s="25" t="s">
        <v>357</v>
      </c>
      <c r="M149" s="24" t="s">
        <v>186</v>
      </c>
      <c r="N149" s="26" t="n">
        <v>0</v>
      </c>
      <c r="O149" s="26" t="n">
        <v>100</v>
      </c>
      <c r="P149" s="26" t="n">
        <v>100</v>
      </c>
      <c r="Q149" s="25" t="s">
        <v>187</v>
      </c>
    </row>
    <row r="150" customFormat="false" ht="15" hidden="false" customHeight="false" outlineLevel="0" collapsed="false">
      <c r="A150" s="24" t="s">
        <v>8</v>
      </c>
      <c r="B150" s="25" t="s">
        <v>3</v>
      </c>
      <c r="C150" s="24" t="s">
        <v>225</v>
      </c>
      <c r="D150" s="24" t="s">
        <v>374</v>
      </c>
      <c r="E150" s="25" t="s">
        <v>230</v>
      </c>
      <c r="F150" s="25" t="s">
        <v>139</v>
      </c>
      <c r="G150" s="26" t="n">
        <v>34600</v>
      </c>
      <c r="H150" s="26" t="n">
        <v>0</v>
      </c>
      <c r="I150" s="26" t="n">
        <v>34600</v>
      </c>
      <c r="J150" s="25" t="s">
        <v>185</v>
      </c>
      <c r="K150" s="25" t="s">
        <v>357</v>
      </c>
      <c r="L150" s="25" t="s">
        <v>357</v>
      </c>
      <c r="M150" s="24" t="s">
        <v>186</v>
      </c>
      <c r="N150" s="26" t="n">
        <v>0</v>
      </c>
      <c r="O150" s="26" t="n">
        <v>1000</v>
      </c>
      <c r="P150" s="26" t="n">
        <v>1000</v>
      </c>
      <c r="Q150" s="25" t="s">
        <v>187</v>
      </c>
    </row>
    <row r="151" customFormat="false" ht="15" hidden="false" customHeight="false" outlineLevel="0" collapsed="false">
      <c r="A151" s="24" t="s">
        <v>8</v>
      </c>
      <c r="B151" s="25" t="s">
        <v>3</v>
      </c>
      <c r="C151" s="24" t="s">
        <v>225</v>
      </c>
      <c r="D151" s="24" t="s">
        <v>375</v>
      </c>
      <c r="E151" s="25" t="s">
        <v>223</v>
      </c>
      <c r="F151" s="25" t="s">
        <v>189</v>
      </c>
      <c r="G151" s="26" t="n">
        <v>4800</v>
      </c>
      <c r="H151" s="26" t="n">
        <v>0</v>
      </c>
      <c r="I151" s="26" t="n">
        <v>4800</v>
      </c>
      <c r="J151" s="25" t="s">
        <v>185</v>
      </c>
      <c r="K151" s="25" t="s">
        <v>357</v>
      </c>
      <c r="L151" s="25" t="s">
        <v>357</v>
      </c>
      <c r="M151" s="24" t="s">
        <v>186</v>
      </c>
      <c r="N151" s="26" t="n">
        <v>0</v>
      </c>
      <c r="O151" s="26" t="n">
        <v>100</v>
      </c>
      <c r="P151" s="26" t="n">
        <v>100</v>
      </c>
      <c r="Q151" s="25" t="s">
        <v>187</v>
      </c>
    </row>
    <row r="152" customFormat="false" ht="15" hidden="false" customHeight="false" outlineLevel="0" collapsed="false">
      <c r="A152" s="24" t="s">
        <v>8</v>
      </c>
      <c r="B152" s="25" t="s">
        <v>3</v>
      </c>
      <c r="C152" s="24" t="s">
        <v>225</v>
      </c>
      <c r="D152" s="24" t="s">
        <v>376</v>
      </c>
      <c r="E152" s="25" t="s">
        <v>296</v>
      </c>
      <c r="F152" s="25" t="s">
        <v>147</v>
      </c>
      <c r="G152" s="26" t="n">
        <v>10300</v>
      </c>
      <c r="H152" s="26" t="n">
        <v>0</v>
      </c>
      <c r="I152" s="26" t="n">
        <v>10300</v>
      </c>
      <c r="J152" s="25" t="s">
        <v>185</v>
      </c>
      <c r="K152" s="25" t="s">
        <v>357</v>
      </c>
      <c r="L152" s="25" t="s">
        <v>357</v>
      </c>
      <c r="M152" s="24" t="s">
        <v>186</v>
      </c>
      <c r="N152" s="26" t="n">
        <v>0</v>
      </c>
      <c r="O152" s="26" t="n">
        <v>300</v>
      </c>
      <c r="P152" s="26" t="n">
        <v>300</v>
      </c>
      <c r="Q152" s="25" t="s">
        <v>187</v>
      </c>
    </row>
    <row r="153" customFormat="false" ht="15" hidden="false" customHeight="false" outlineLevel="0" collapsed="false">
      <c r="A153" s="24" t="s">
        <v>8</v>
      </c>
      <c r="B153" s="25" t="s">
        <v>3</v>
      </c>
      <c r="C153" s="24" t="s">
        <v>225</v>
      </c>
      <c r="D153" s="24" t="s">
        <v>377</v>
      </c>
      <c r="E153" s="25" t="s">
        <v>224</v>
      </c>
      <c r="F153" s="25" t="s">
        <v>189</v>
      </c>
      <c r="G153" s="26" t="n">
        <v>5900</v>
      </c>
      <c r="H153" s="26" t="n">
        <v>0</v>
      </c>
      <c r="I153" s="26" t="n">
        <v>5900</v>
      </c>
      <c r="J153" s="25" t="s">
        <v>185</v>
      </c>
      <c r="K153" s="25" t="s">
        <v>357</v>
      </c>
      <c r="L153" s="25" t="s">
        <v>357</v>
      </c>
      <c r="M153" s="24" t="s">
        <v>186</v>
      </c>
      <c r="N153" s="26" t="n">
        <v>0</v>
      </c>
      <c r="O153" s="26" t="n">
        <v>200</v>
      </c>
      <c r="P153" s="26" t="n">
        <v>200</v>
      </c>
      <c r="Q153" s="25" t="s">
        <v>187</v>
      </c>
    </row>
    <row r="154" customFormat="false" ht="15" hidden="false" customHeight="false" outlineLevel="0" collapsed="false">
      <c r="A154" s="24" t="s">
        <v>8</v>
      </c>
      <c r="B154" s="25" t="s">
        <v>3</v>
      </c>
      <c r="C154" s="24" t="s">
        <v>225</v>
      </c>
      <c r="D154" s="24" t="s">
        <v>378</v>
      </c>
      <c r="E154" s="25" t="s">
        <v>48</v>
      </c>
      <c r="F154" s="25" t="s">
        <v>218</v>
      </c>
      <c r="G154" s="26" t="n">
        <v>9300</v>
      </c>
      <c r="H154" s="26" t="n">
        <v>0</v>
      </c>
      <c r="I154" s="26" t="n">
        <v>9300</v>
      </c>
      <c r="J154" s="25" t="s">
        <v>185</v>
      </c>
      <c r="K154" s="25" t="s">
        <v>357</v>
      </c>
      <c r="L154" s="25" t="s">
        <v>357</v>
      </c>
      <c r="M154" s="24" t="s">
        <v>186</v>
      </c>
      <c r="N154" s="26" t="n">
        <v>0</v>
      </c>
      <c r="O154" s="26" t="n">
        <v>300</v>
      </c>
      <c r="P154" s="26" t="n">
        <v>300</v>
      </c>
      <c r="Q154" s="25" t="s">
        <v>187</v>
      </c>
    </row>
    <row r="155" customFormat="false" ht="15" hidden="false" customHeight="false" outlineLevel="0" collapsed="false">
      <c r="A155" s="24" t="s">
        <v>8</v>
      </c>
      <c r="B155" s="25" t="s">
        <v>3</v>
      </c>
      <c r="C155" s="24" t="s">
        <v>225</v>
      </c>
      <c r="D155" s="24" t="s">
        <v>379</v>
      </c>
      <c r="E155" s="25" t="s">
        <v>312</v>
      </c>
      <c r="F155" s="25" t="s">
        <v>158</v>
      </c>
      <c r="G155" s="26" t="n">
        <v>5300</v>
      </c>
      <c r="H155" s="26" t="n">
        <v>0</v>
      </c>
      <c r="I155" s="26" t="n">
        <v>5300</v>
      </c>
      <c r="J155" s="25" t="s">
        <v>185</v>
      </c>
      <c r="K155" s="25" t="s">
        <v>357</v>
      </c>
      <c r="L155" s="25" t="s">
        <v>357</v>
      </c>
      <c r="M155" s="24" t="s">
        <v>186</v>
      </c>
      <c r="N155" s="26" t="n">
        <v>0</v>
      </c>
      <c r="O155" s="26" t="n">
        <v>100</v>
      </c>
      <c r="P155" s="26" t="n">
        <v>100</v>
      </c>
      <c r="Q155" s="25" t="s">
        <v>187</v>
      </c>
    </row>
    <row r="156" customFormat="false" ht="15" hidden="false" customHeight="false" outlineLevel="0" collapsed="false">
      <c r="A156" s="24" t="s">
        <v>8</v>
      </c>
      <c r="B156" s="25" t="s">
        <v>3</v>
      </c>
      <c r="C156" s="24" t="s">
        <v>225</v>
      </c>
      <c r="D156" s="24" t="s">
        <v>380</v>
      </c>
      <c r="E156" s="25" t="s">
        <v>260</v>
      </c>
      <c r="F156" s="25" t="s">
        <v>189</v>
      </c>
      <c r="G156" s="26" t="n">
        <v>4800</v>
      </c>
      <c r="H156" s="26" t="n">
        <v>0</v>
      </c>
      <c r="I156" s="26" t="n">
        <v>4800</v>
      </c>
      <c r="J156" s="25" t="s">
        <v>185</v>
      </c>
      <c r="K156" s="25" t="s">
        <v>357</v>
      </c>
      <c r="L156" s="25" t="s">
        <v>357</v>
      </c>
      <c r="M156" s="24" t="s">
        <v>186</v>
      </c>
      <c r="N156" s="26" t="n">
        <v>0</v>
      </c>
      <c r="O156" s="26" t="n">
        <v>100</v>
      </c>
      <c r="P156" s="26" t="n">
        <v>100</v>
      </c>
      <c r="Q156" s="25" t="s">
        <v>187</v>
      </c>
    </row>
    <row r="157" customFormat="false" ht="15" hidden="false" customHeight="false" outlineLevel="0" collapsed="false">
      <c r="A157" s="24" t="s">
        <v>8</v>
      </c>
      <c r="B157" s="25" t="s">
        <v>3</v>
      </c>
      <c r="C157" s="24" t="s">
        <v>225</v>
      </c>
      <c r="D157" s="24" t="s">
        <v>381</v>
      </c>
      <c r="E157" s="25" t="s">
        <v>177</v>
      </c>
      <c r="F157" s="25" t="s">
        <v>140</v>
      </c>
      <c r="G157" s="26" t="n">
        <v>9200</v>
      </c>
      <c r="H157" s="26" t="n">
        <v>0</v>
      </c>
      <c r="I157" s="26" t="n">
        <v>9200</v>
      </c>
      <c r="J157" s="25" t="s">
        <v>185</v>
      </c>
      <c r="K157" s="25" t="s">
        <v>357</v>
      </c>
      <c r="L157" s="25" t="s">
        <v>357</v>
      </c>
      <c r="M157" s="24" t="s">
        <v>186</v>
      </c>
      <c r="N157" s="26" t="n">
        <v>0</v>
      </c>
      <c r="O157" s="26" t="n">
        <v>300</v>
      </c>
      <c r="P157" s="26" t="n">
        <v>300</v>
      </c>
      <c r="Q157" s="25" t="s">
        <v>187</v>
      </c>
    </row>
    <row r="158" customFormat="false" ht="15" hidden="false" customHeight="false" outlineLevel="0" collapsed="false">
      <c r="A158" s="24" t="s">
        <v>8</v>
      </c>
      <c r="B158" s="25" t="s">
        <v>3</v>
      </c>
      <c r="C158" s="24" t="s">
        <v>225</v>
      </c>
      <c r="D158" s="24" t="s">
        <v>382</v>
      </c>
      <c r="E158" s="25" t="s">
        <v>219</v>
      </c>
      <c r="F158" s="25" t="s">
        <v>137</v>
      </c>
      <c r="G158" s="26" t="n">
        <v>5400</v>
      </c>
      <c r="H158" s="26" t="n">
        <v>0</v>
      </c>
      <c r="I158" s="26" t="n">
        <v>5400</v>
      </c>
      <c r="J158" s="25" t="s">
        <v>185</v>
      </c>
      <c r="K158" s="25" t="s">
        <v>357</v>
      </c>
      <c r="L158" s="25" t="s">
        <v>357</v>
      </c>
      <c r="M158" s="24" t="s">
        <v>186</v>
      </c>
      <c r="N158" s="26" t="n">
        <v>0</v>
      </c>
      <c r="O158" s="26" t="n">
        <v>200</v>
      </c>
      <c r="P158" s="26" t="n">
        <v>200</v>
      </c>
      <c r="Q158" s="25" t="s">
        <v>187</v>
      </c>
    </row>
    <row r="159" customFormat="false" ht="15" hidden="false" customHeight="false" outlineLevel="0" collapsed="false">
      <c r="A159" s="24" t="s">
        <v>8</v>
      </c>
      <c r="B159" s="25" t="s">
        <v>3</v>
      </c>
      <c r="C159" s="24" t="s">
        <v>225</v>
      </c>
      <c r="D159" s="24" t="s">
        <v>383</v>
      </c>
      <c r="E159" s="25" t="s">
        <v>188</v>
      </c>
      <c r="F159" s="25" t="s">
        <v>189</v>
      </c>
      <c r="G159" s="26" t="n">
        <v>6600</v>
      </c>
      <c r="H159" s="26" t="n">
        <v>0</v>
      </c>
      <c r="I159" s="26" t="n">
        <v>6600</v>
      </c>
      <c r="J159" s="25" t="s">
        <v>185</v>
      </c>
      <c r="K159" s="25" t="s">
        <v>359</v>
      </c>
      <c r="L159" s="25" t="s">
        <v>357</v>
      </c>
      <c r="M159" s="24" t="s">
        <v>181</v>
      </c>
      <c r="N159" s="26" t="n">
        <v>0</v>
      </c>
      <c r="O159" s="26" t="n">
        <v>200</v>
      </c>
      <c r="P159" s="26" t="n">
        <v>200</v>
      </c>
      <c r="Q159" s="25" t="s">
        <v>182</v>
      </c>
    </row>
    <row r="160" customFormat="false" ht="15" hidden="false" customHeight="false" outlineLevel="0" collapsed="false">
      <c r="A160" s="24" t="s">
        <v>8</v>
      </c>
      <c r="B160" s="25" t="s">
        <v>3</v>
      </c>
      <c r="C160" s="24" t="s">
        <v>225</v>
      </c>
      <c r="D160" s="24" t="s">
        <v>384</v>
      </c>
      <c r="E160" s="24" t="s">
        <v>385</v>
      </c>
      <c r="F160" s="25" t="s">
        <v>135</v>
      </c>
      <c r="G160" s="26" t="n">
        <v>38600</v>
      </c>
      <c r="H160" s="26" t="n">
        <v>0</v>
      </c>
      <c r="I160" s="26" t="n">
        <v>38600</v>
      </c>
      <c r="J160" s="25" t="s">
        <v>185</v>
      </c>
      <c r="K160" s="25" t="s">
        <v>357</v>
      </c>
      <c r="L160" s="25" t="s">
        <v>357</v>
      </c>
      <c r="M160" s="24" t="s">
        <v>186</v>
      </c>
      <c r="N160" s="26" t="n">
        <v>0</v>
      </c>
      <c r="O160" s="26" t="n">
        <v>1100</v>
      </c>
      <c r="P160" s="26" t="n">
        <v>1100</v>
      </c>
      <c r="Q160" s="25" t="s">
        <v>187</v>
      </c>
    </row>
    <row r="161" customFormat="false" ht="15" hidden="false" customHeight="false" outlineLevel="0" collapsed="false">
      <c r="A161" s="24" t="s">
        <v>8</v>
      </c>
      <c r="B161" s="25" t="s">
        <v>3</v>
      </c>
      <c r="C161" s="24" t="s">
        <v>225</v>
      </c>
      <c r="D161" s="24" t="s">
        <v>386</v>
      </c>
      <c r="E161" s="25" t="s">
        <v>387</v>
      </c>
      <c r="F161" s="25" t="s">
        <v>146</v>
      </c>
      <c r="G161" s="26" t="n">
        <v>20700</v>
      </c>
      <c r="H161" s="26" t="n">
        <v>0</v>
      </c>
      <c r="I161" s="26" t="n">
        <v>20700</v>
      </c>
      <c r="J161" s="25" t="s">
        <v>185</v>
      </c>
      <c r="K161" s="25" t="s">
        <v>357</v>
      </c>
      <c r="L161" s="24"/>
      <c r="M161" s="24" t="s">
        <v>196</v>
      </c>
      <c r="N161" s="26" t="n">
        <v>0</v>
      </c>
      <c r="O161" s="26" t="n">
        <v>0</v>
      </c>
      <c r="P161" s="26" t="n">
        <v>0</v>
      </c>
      <c r="Q161" s="25" t="s">
        <v>197</v>
      </c>
    </row>
    <row r="162" customFormat="false" ht="15" hidden="false" customHeight="false" outlineLevel="0" collapsed="false">
      <c r="A162" s="24" t="s">
        <v>8</v>
      </c>
      <c r="B162" s="25" t="s">
        <v>3</v>
      </c>
      <c r="C162" s="24" t="s">
        <v>225</v>
      </c>
      <c r="D162" s="24" t="s">
        <v>388</v>
      </c>
      <c r="E162" s="25" t="s">
        <v>272</v>
      </c>
      <c r="F162" s="25" t="s">
        <v>218</v>
      </c>
      <c r="G162" s="26" t="n">
        <v>46100</v>
      </c>
      <c r="H162" s="26" t="n">
        <v>0</v>
      </c>
      <c r="I162" s="26" t="n">
        <v>46100</v>
      </c>
      <c r="J162" s="25" t="s">
        <v>185</v>
      </c>
      <c r="K162" s="25" t="s">
        <v>357</v>
      </c>
      <c r="L162" s="25" t="s">
        <v>357</v>
      </c>
      <c r="M162" s="24" t="s">
        <v>186</v>
      </c>
      <c r="N162" s="26" t="n">
        <v>0</v>
      </c>
      <c r="O162" s="26" t="n">
        <v>1200</v>
      </c>
      <c r="P162" s="26" t="n">
        <v>1200</v>
      </c>
      <c r="Q162" s="25" t="s">
        <v>187</v>
      </c>
    </row>
    <row r="163" customFormat="false" ht="15" hidden="false" customHeight="false" outlineLevel="0" collapsed="false">
      <c r="A163" s="24" t="s">
        <v>8</v>
      </c>
      <c r="B163" s="25" t="s">
        <v>3</v>
      </c>
      <c r="C163" s="24" t="s">
        <v>225</v>
      </c>
      <c r="D163" s="24" t="s">
        <v>389</v>
      </c>
      <c r="E163" s="25" t="s">
        <v>211</v>
      </c>
      <c r="F163" s="25" t="s">
        <v>212</v>
      </c>
      <c r="G163" s="26" t="n">
        <v>2700</v>
      </c>
      <c r="H163" s="26" t="n">
        <v>0</v>
      </c>
      <c r="I163" s="26" t="n">
        <v>2700</v>
      </c>
      <c r="J163" s="25" t="s">
        <v>185</v>
      </c>
      <c r="K163" s="25" t="s">
        <v>357</v>
      </c>
      <c r="L163" s="25" t="s">
        <v>357</v>
      </c>
      <c r="M163" s="24" t="s">
        <v>186</v>
      </c>
      <c r="N163" s="26" t="n">
        <v>0</v>
      </c>
      <c r="O163" s="26" t="n">
        <v>100</v>
      </c>
      <c r="P163" s="26" t="n">
        <v>100</v>
      </c>
      <c r="Q163" s="25" t="s">
        <v>187</v>
      </c>
    </row>
    <row r="164" customFormat="false" ht="15" hidden="false" customHeight="false" outlineLevel="0" collapsed="false">
      <c r="A164" s="24" t="s">
        <v>8</v>
      </c>
      <c r="B164" s="25" t="s">
        <v>3</v>
      </c>
      <c r="C164" s="24" t="s">
        <v>225</v>
      </c>
      <c r="D164" s="24" t="s">
        <v>390</v>
      </c>
      <c r="E164" s="25" t="s">
        <v>318</v>
      </c>
      <c r="F164" s="25" t="s">
        <v>154</v>
      </c>
      <c r="G164" s="26" t="n">
        <v>6500</v>
      </c>
      <c r="H164" s="26" t="n">
        <v>0</v>
      </c>
      <c r="I164" s="26" t="n">
        <v>6500</v>
      </c>
      <c r="J164" s="25" t="s">
        <v>185</v>
      </c>
      <c r="K164" s="25" t="s">
        <v>357</v>
      </c>
      <c r="L164" s="25" t="s">
        <v>357</v>
      </c>
      <c r="M164" s="24" t="s">
        <v>186</v>
      </c>
      <c r="N164" s="26" t="n">
        <v>0</v>
      </c>
      <c r="O164" s="26" t="n">
        <v>200</v>
      </c>
      <c r="P164" s="26" t="n">
        <v>200</v>
      </c>
      <c r="Q164" s="25" t="s">
        <v>187</v>
      </c>
    </row>
    <row r="165" customFormat="false" ht="15" hidden="false" customHeight="false" outlineLevel="0" collapsed="false">
      <c r="A165" s="24" t="s">
        <v>8</v>
      </c>
      <c r="B165" s="25" t="s">
        <v>3</v>
      </c>
      <c r="C165" s="24" t="s">
        <v>225</v>
      </c>
      <c r="D165" s="24" t="s">
        <v>391</v>
      </c>
      <c r="E165" s="25" t="s">
        <v>195</v>
      </c>
      <c r="F165" s="25" t="s">
        <v>144</v>
      </c>
      <c r="G165" s="26" t="n">
        <v>6900</v>
      </c>
      <c r="H165" s="26" t="n">
        <v>300</v>
      </c>
      <c r="I165" s="26" t="n">
        <v>6600</v>
      </c>
      <c r="J165" s="25" t="s">
        <v>185</v>
      </c>
      <c r="K165" s="25" t="s">
        <v>357</v>
      </c>
      <c r="L165" s="25" t="s">
        <v>357</v>
      </c>
      <c r="M165" s="24" t="s">
        <v>193</v>
      </c>
      <c r="N165" s="26" t="n">
        <v>300</v>
      </c>
      <c r="O165" s="26" t="n">
        <v>300</v>
      </c>
      <c r="P165" s="26" t="n">
        <v>0</v>
      </c>
      <c r="Q165" s="24"/>
    </row>
    <row r="166" customFormat="false" ht="15" hidden="false" customHeight="false" outlineLevel="0" collapsed="false">
      <c r="A166" s="24" t="s">
        <v>8</v>
      </c>
      <c r="B166" s="25" t="s">
        <v>3</v>
      </c>
      <c r="C166" s="24" t="s">
        <v>225</v>
      </c>
      <c r="D166" s="24" t="s">
        <v>392</v>
      </c>
      <c r="E166" s="25" t="s">
        <v>393</v>
      </c>
      <c r="F166" s="25" t="s">
        <v>135</v>
      </c>
      <c r="G166" s="26" t="n">
        <v>36100</v>
      </c>
      <c r="H166" s="26" t="n">
        <v>0</v>
      </c>
      <c r="I166" s="26" t="n">
        <v>36100</v>
      </c>
      <c r="J166" s="25" t="s">
        <v>185</v>
      </c>
      <c r="K166" s="25" t="s">
        <v>357</v>
      </c>
      <c r="L166" s="25" t="s">
        <v>357</v>
      </c>
      <c r="M166" s="24" t="s">
        <v>186</v>
      </c>
      <c r="N166" s="26" t="n">
        <v>0</v>
      </c>
      <c r="O166" s="26" t="n">
        <v>1000</v>
      </c>
      <c r="P166" s="26" t="n">
        <v>1000</v>
      </c>
      <c r="Q166" s="25" t="s">
        <v>187</v>
      </c>
    </row>
    <row r="167" customFormat="false" ht="15" hidden="false" customHeight="false" outlineLevel="0" collapsed="false">
      <c r="A167" s="24" t="s">
        <v>8</v>
      </c>
      <c r="B167" s="25" t="s">
        <v>3</v>
      </c>
      <c r="C167" s="24" t="s">
        <v>225</v>
      </c>
      <c r="D167" s="24" t="s">
        <v>394</v>
      </c>
      <c r="E167" s="25" t="s">
        <v>222</v>
      </c>
      <c r="F167" s="25" t="s">
        <v>137</v>
      </c>
      <c r="G167" s="26" t="n">
        <v>8300</v>
      </c>
      <c r="H167" s="26" t="n">
        <v>400</v>
      </c>
      <c r="I167" s="26" t="n">
        <v>7900</v>
      </c>
      <c r="J167" s="25" t="s">
        <v>185</v>
      </c>
      <c r="K167" s="25" t="s">
        <v>357</v>
      </c>
      <c r="L167" s="25" t="s">
        <v>357</v>
      </c>
      <c r="M167" s="24" t="s">
        <v>193</v>
      </c>
      <c r="N167" s="26" t="n">
        <v>400</v>
      </c>
      <c r="O167" s="26" t="n">
        <v>400</v>
      </c>
      <c r="P167" s="26" t="n">
        <v>0</v>
      </c>
      <c r="Q167" s="24"/>
    </row>
    <row r="168" customFormat="false" ht="15" hidden="false" customHeight="false" outlineLevel="0" collapsed="false">
      <c r="A168" s="24" t="s">
        <v>8</v>
      </c>
      <c r="B168" s="25" t="s">
        <v>3</v>
      </c>
      <c r="C168" s="24" t="s">
        <v>225</v>
      </c>
      <c r="D168" s="24" t="s">
        <v>395</v>
      </c>
      <c r="E168" s="24" t="s">
        <v>358</v>
      </c>
      <c r="F168" s="25" t="s">
        <v>135</v>
      </c>
      <c r="G168" s="26" t="n">
        <v>43300</v>
      </c>
      <c r="H168" s="26" t="n">
        <v>0</v>
      </c>
      <c r="I168" s="26" t="n">
        <v>43300</v>
      </c>
      <c r="J168" s="25" t="s">
        <v>185</v>
      </c>
      <c r="K168" s="25" t="s">
        <v>357</v>
      </c>
      <c r="L168" s="25" t="s">
        <v>357</v>
      </c>
      <c r="M168" s="24" t="s">
        <v>186</v>
      </c>
      <c r="N168" s="26" t="n">
        <v>0</v>
      </c>
      <c r="O168" s="26" t="n">
        <v>1100</v>
      </c>
      <c r="P168" s="26" t="n">
        <v>1100</v>
      </c>
      <c r="Q168" s="25" t="s">
        <v>187</v>
      </c>
    </row>
    <row r="169" customFormat="false" ht="15" hidden="false" customHeight="false" outlineLevel="0" collapsed="false">
      <c r="A169" s="24" t="s">
        <v>8</v>
      </c>
      <c r="B169" s="25" t="s">
        <v>3</v>
      </c>
      <c r="C169" s="24" t="s">
        <v>225</v>
      </c>
      <c r="D169" s="24" t="s">
        <v>396</v>
      </c>
      <c r="E169" s="25" t="s">
        <v>290</v>
      </c>
      <c r="F169" s="25" t="s">
        <v>212</v>
      </c>
      <c r="G169" s="26" t="n">
        <v>6200</v>
      </c>
      <c r="H169" s="26" t="n">
        <v>0</v>
      </c>
      <c r="I169" s="26" t="n">
        <v>6200</v>
      </c>
      <c r="J169" s="25" t="s">
        <v>185</v>
      </c>
      <c r="K169" s="25" t="s">
        <v>357</v>
      </c>
      <c r="L169" s="25" t="s">
        <v>357</v>
      </c>
      <c r="M169" s="24" t="s">
        <v>186</v>
      </c>
      <c r="N169" s="26" t="n">
        <v>0</v>
      </c>
      <c r="O169" s="26" t="n">
        <v>200</v>
      </c>
      <c r="P169" s="26" t="n">
        <v>200</v>
      </c>
      <c r="Q169" s="25" t="s">
        <v>187</v>
      </c>
    </row>
    <row r="170" customFormat="false" ht="15" hidden="false" customHeight="false" outlineLevel="0" collapsed="false">
      <c r="A170" s="24" t="s">
        <v>8</v>
      </c>
      <c r="B170" s="25" t="s">
        <v>3</v>
      </c>
      <c r="C170" s="24" t="s">
        <v>225</v>
      </c>
      <c r="D170" s="24" t="s">
        <v>397</v>
      </c>
      <c r="E170" s="25" t="s">
        <v>199</v>
      </c>
      <c r="F170" s="25" t="s">
        <v>200</v>
      </c>
      <c r="G170" s="26" t="n">
        <v>23400</v>
      </c>
      <c r="H170" s="26" t="n">
        <v>0</v>
      </c>
      <c r="I170" s="26" t="n">
        <v>23400</v>
      </c>
      <c r="J170" s="25" t="s">
        <v>185</v>
      </c>
      <c r="K170" s="25" t="s">
        <v>357</v>
      </c>
      <c r="L170" s="25" t="s">
        <v>357</v>
      </c>
      <c r="M170" s="24" t="s">
        <v>186</v>
      </c>
      <c r="N170" s="26" t="n">
        <v>0</v>
      </c>
      <c r="O170" s="26" t="n">
        <v>700</v>
      </c>
      <c r="P170" s="26" t="n">
        <v>700</v>
      </c>
      <c r="Q170" s="25" t="s">
        <v>187</v>
      </c>
    </row>
    <row r="171" customFormat="false" ht="15" hidden="false" customHeight="false" outlineLevel="0" collapsed="false">
      <c r="A171" s="24" t="s">
        <v>8</v>
      </c>
      <c r="B171" s="25" t="s">
        <v>3</v>
      </c>
      <c r="C171" s="24" t="s">
        <v>225</v>
      </c>
      <c r="D171" s="24" t="s">
        <v>398</v>
      </c>
      <c r="E171" s="25" t="s">
        <v>215</v>
      </c>
      <c r="F171" s="25" t="s">
        <v>145</v>
      </c>
      <c r="G171" s="26" t="n">
        <v>1900</v>
      </c>
      <c r="H171" s="26" t="n">
        <v>0</v>
      </c>
      <c r="I171" s="26" t="n">
        <v>1900</v>
      </c>
      <c r="J171" s="25" t="s">
        <v>185</v>
      </c>
      <c r="K171" s="25" t="s">
        <v>357</v>
      </c>
      <c r="L171" s="25" t="s">
        <v>357</v>
      </c>
      <c r="M171" s="24" t="s">
        <v>186</v>
      </c>
      <c r="N171" s="26" t="n">
        <v>0</v>
      </c>
      <c r="O171" s="26" t="n">
        <v>100</v>
      </c>
      <c r="P171" s="26" t="n">
        <v>100</v>
      </c>
      <c r="Q171" s="25" t="s">
        <v>187</v>
      </c>
    </row>
    <row r="172" customFormat="false" ht="15" hidden="false" customHeight="false" outlineLevel="0" collapsed="false">
      <c r="A172" s="24" t="s">
        <v>8</v>
      </c>
      <c r="B172" s="25" t="s">
        <v>3</v>
      </c>
      <c r="C172" s="24" t="s">
        <v>225</v>
      </c>
      <c r="D172" s="24" t="s">
        <v>399</v>
      </c>
      <c r="E172" s="25" t="s">
        <v>264</v>
      </c>
      <c r="F172" s="25" t="s">
        <v>137</v>
      </c>
      <c r="G172" s="26" t="n">
        <v>8300</v>
      </c>
      <c r="H172" s="26" t="n">
        <v>0</v>
      </c>
      <c r="I172" s="26" t="n">
        <v>8300</v>
      </c>
      <c r="J172" s="25" t="s">
        <v>185</v>
      </c>
      <c r="K172" s="25" t="s">
        <v>357</v>
      </c>
      <c r="L172" s="25" t="s">
        <v>357</v>
      </c>
      <c r="M172" s="24" t="s">
        <v>186</v>
      </c>
      <c r="N172" s="26" t="n">
        <v>0</v>
      </c>
      <c r="O172" s="26" t="n">
        <v>200</v>
      </c>
      <c r="P172" s="26" t="n">
        <v>200</v>
      </c>
      <c r="Q172" s="25" t="s">
        <v>187</v>
      </c>
    </row>
    <row r="173" customFormat="false" ht="15" hidden="false" customHeight="false" outlineLevel="0" collapsed="false">
      <c r="A173" s="24" t="s">
        <v>8</v>
      </c>
      <c r="B173" s="25" t="s">
        <v>3</v>
      </c>
      <c r="C173" s="24" t="s">
        <v>225</v>
      </c>
      <c r="D173" s="24" t="s">
        <v>400</v>
      </c>
      <c r="E173" s="25" t="s">
        <v>192</v>
      </c>
      <c r="F173" s="25" t="s">
        <v>147</v>
      </c>
      <c r="G173" s="26" t="n">
        <v>16100</v>
      </c>
      <c r="H173" s="26" t="n">
        <v>0</v>
      </c>
      <c r="I173" s="26" t="n">
        <v>16100</v>
      </c>
      <c r="J173" s="25" t="s">
        <v>185</v>
      </c>
      <c r="K173" s="25" t="s">
        <v>359</v>
      </c>
      <c r="L173" s="25" t="s">
        <v>357</v>
      </c>
      <c r="M173" s="24" t="s">
        <v>181</v>
      </c>
      <c r="N173" s="26" t="n">
        <v>0</v>
      </c>
      <c r="O173" s="26" t="n">
        <v>500</v>
      </c>
      <c r="P173" s="26" t="n">
        <v>500</v>
      </c>
      <c r="Q173" s="25" t="s">
        <v>182</v>
      </c>
    </row>
    <row r="174" customFormat="false" ht="15" hidden="false" customHeight="false" outlineLevel="0" collapsed="false">
      <c r="A174" s="24" t="s">
        <v>8</v>
      </c>
      <c r="B174" s="25" t="s">
        <v>3</v>
      </c>
      <c r="C174" s="24" t="s">
        <v>225</v>
      </c>
      <c r="D174" s="24" t="s">
        <v>401</v>
      </c>
      <c r="E174" s="24" t="s">
        <v>361</v>
      </c>
      <c r="F174" s="25" t="s">
        <v>135</v>
      </c>
      <c r="G174" s="26" t="n">
        <v>48900</v>
      </c>
      <c r="H174" s="26" t="n">
        <v>0</v>
      </c>
      <c r="I174" s="26" t="n">
        <v>48900</v>
      </c>
      <c r="J174" s="25" t="s">
        <v>185</v>
      </c>
      <c r="K174" s="25" t="s">
        <v>359</v>
      </c>
      <c r="L174" s="25" t="s">
        <v>359</v>
      </c>
      <c r="M174" s="24" t="s">
        <v>186</v>
      </c>
      <c r="N174" s="26" t="n">
        <v>0</v>
      </c>
      <c r="O174" s="26" t="n">
        <v>1300</v>
      </c>
      <c r="P174" s="26" t="n">
        <v>1300</v>
      </c>
      <c r="Q174" s="25" t="s">
        <v>187</v>
      </c>
    </row>
    <row r="175" customFormat="false" ht="15" hidden="false" customHeight="false" outlineLevel="0" collapsed="false">
      <c r="A175" s="24" t="s">
        <v>8</v>
      </c>
      <c r="B175" s="25" t="s">
        <v>3</v>
      </c>
      <c r="C175" s="24" t="s">
        <v>225</v>
      </c>
      <c r="D175" s="24" t="s">
        <v>402</v>
      </c>
      <c r="E175" s="24" t="s">
        <v>385</v>
      </c>
      <c r="F175" s="25" t="s">
        <v>135</v>
      </c>
      <c r="G175" s="26" t="n">
        <v>43200</v>
      </c>
      <c r="H175" s="26" t="n">
        <v>1800</v>
      </c>
      <c r="I175" s="26" t="n">
        <v>41400</v>
      </c>
      <c r="J175" s="25" t="s">
        <v>185</v>
      </c>
      <c r="K175" s="25" t="s">
        <v>357</v>
      </c>
      <c r="L175" s="25" t="s">
        <v>357</v>
      </c>
      <c r="M175" s="24" t="s">
        <v>193</v>
      </c>
      <c r="N175" s="26" t="n">
        <v>1800</v>
      </c>
      <c r="O175" s="26" t="n">
        <v>1800</v>
      </c>
      <c r="P175" s="26" t="n">
        <v>0</v>
      </c>
      <c r="Q175" s="24"/>
    </row>
    <row r="176" customFormat="false" ht="15" hidden="false" customHeight="false" outlineLevel="0" collapsed="false">
      <c r="A176" s="24" t="s">
        <v>8</v>
      </c>
      <c r="B176" s="25" t="s">
        <v>3</v>
      </c>
      <c r="C176" s="24" t="s">
        <v>225</v>
      </c>
      <c r="D176" s="24" t="s">
        <v>403</v>
      </c>
      <c r="E176" s="25" t="s">
        <v>315</v>
      </c>
      <c r="F176" s="25" t="s">
        <v>218</v>
      </c>
      <c r="G176" s="26" t="n">
        <v>28900</v>
      </c>
      <c r="H176" s="26" t="n">
        <v>0</v>
      </c>
      <c r="I176" s="26" t="n">
        <v>28900</v>
      </c>
      <c r="J176" s="25" t="s">
        <v>185</v>
      </c>
      <c r="K176" s="25" t="s">
        <v>357</v>
      </c>
      <c r="L176" s="25" t="s">
        <v>357</v>
      </c>
      <c r="M176" s="24" t="s">
        <v>186</v>
      </c>
      <c r="N176" s="26" t="n">
        <v>0</v>
      </c>
      <c r="O176" s="26" t="n">
        <v>800</v>
      </c>
      <c r="P176" s="26" t="n">
        <v>800</v>
      </c>
      <c r="Q176" s="25" t="s">
        <v>187</v>
      </c>
    </row>
    <row r="177" customFormat="false" ht="15" hidden="false" customHeight="false" outlineLevel="0" collapsed="false">
      <c r="A177" s="24" t="s">
        <v>8</v>
      </c>
      <c r="B177" s="25" t="s">
        <v>3</v>
      </c>
      <c r="C177" s="24" t="s">
        <v>225</v>
      </c>
      <c r="D177" s="24" t="s">
        <v>404</v>
      </c>
      <c r="E177" s="24" t="s">
        <v>294</v>
      </c>
      <c r="F177" s="25" t="s">
        <v>140</v>
      </c>
      <c r="G177" s="26" t="n">
        <v>5200</v>
      </c>
      <c r="H177" s="26" t="n">
        <v>0</v>
      </c>
      <c r="I177" s="26" t="n">
        <v>5200</v>
      </c>
      <c r="J177" s="25" t="s">
        <v>185</v>
      </c>
      <c r="K177" s="25" t="s">
        <v>357</v>
      </c>
      <c r="L177" s="25" t="s">
        <v>357</v>
      </c>
      <c r="M177" s="24" t="s">
        <v>186</v>
      </c>
      <c r="N177" s="26" t="n">
        <v>0</v>
      </c>
      <c r="O177" s="26" t="n">
        <v>100</v>
      </c>
      <c r="P177" s="26" t="n">
        <v>100</v>
      </c>
      <c r="Q177" s="25" t="s">
        <v>187</v>
      </c>
    </row>
    <row r="178" customFormat="false" ht="15" hidden="false" customHeight="false" outlineLevel="0" collapsed="false">
      <c r="A178" s="24" t="s">
        <v>8</v>
      </c>
      <c r="B178" s="25" t="s">
        <v>3</v>
      </c>
      <c r="C178" s="24" t="s">
        <v>225</v>
      </c>
      <c r="D178" s="24" t="s">
        <v>405</v>
      </c>
      <c r="E178" s="25" t="s">
        <v>283</v>
      </c>
      <c r="F178" s="25" t="s">
        <v>137</v>
      </c>
      <c r="G178" s="26" t="n">
        <v>9000</v>
      </c>
      <c r="H178" s="26" t="n">
        <v>0</v>
      </c>
      <c r="I178" s="26" t="n">
        <v>9000</v>
      </c>
      <c r="J178" s="25" t="s">
        <v>185</v>
      </c>
      <c r="K178" s="25" t="s">
        <v>357</v>
      </c>
      <c r="L178" s="25" t="s">
        <v>357</v>
      </c>
      <c r="M178" s="24" t="s">
        <v>186</v>
      </c>
      <c r="N178" s="26" t="n">
        <v>0</v>
      </c>
      <c r="O178" s="26" t="n">
        <v>300</v>
      </c>
      <c r="P178" s="26" t="n">
        <v>300</v>
      </c>
      <c r="Q178" s="25" t="s">
        <v>187</v>
      </c>
    </row>
    <row r="179" customFormat="false" ht="15" hidden="false" customHeight="false" outlineLevel="0" collapsed="false">
      <c r="A179" s="24" t="s">
        <v>8</v>
      </c>
      <c r="B179" s="25" t="s">
        <v>3</v>
      </c>
      <c r="C179" s="24" t="s">
        <v>225</v>
      </c>
      <c r="D179" s="24" t="s">
        <v>406</v>
      </c>
      <c r="E179" s="25" t="s">
        <v>277</v>
      </c>
      <c r="F179" s="25" t="s">
        <v>145</v>
      </c>
      <c r="G179" s="26" t="n">
        <v>6500</v>
      </c>
      <c r="H179" s="26" t="n">
        <v>0</v>
      </c>
      <c r="I179" s="26" t="n">
        <v>6500</v>
      </c>
      <c r="J179" s="25" t="s">
        <v>185</v>
      </c>
      <c r="K179" s="25" t="s">
        <v>357</v>
      </c>
      <c r="L179" s="25" t="s">
        <v>357</v>
      </c>
      <c r="M179" s="24" t="s">
        <v>186</v>
      </c>
      <c r="N179" s="26" t="n">
        <v>0</v>
      </c>
      <c r="O179" s="26" t="n">
        <v>200</v>
      </c>
      <c r="P179" s="26" t="n">
        <v>200</v>
      </c>
      <c r="Q179" s="25" t="s">
        <v>187</v>
      </c>
    </row>
    <row r="180" customFormat="false" ht="15" hidden="false" customHeight="false" outlineLevel="0" collapsed="false">
      <c r="A180" s="24" t="s">
        <v>8</v>
      </c>
      <c r="B180" s="25" t="s">
        <v>3</v>
      </c>
      <c r="C180" s="24" t="s">
        <v>225</v>
      </c>
      <c r="D180" s="24" t="s">
        <v>407</v>
      </c>
      <c r="E180" s="25" t="s">
        <v>202</v>
      </c>
      <c r="F180" s="25" t="s">
        <v>144</v>
      </c>
      <c r="G180" s="26" t="n">
        <v>1900</v>
      </c>
      <c r="H180" s="26" t="n">
        <v>0</v>
      </c>
      <c r="I180" s="26" t="n">
        <v>1900</v>
      </c>
      <c r="J180" s="25" t="s">
        <v>185</v>
      </c>
      <c r="K180" s="25" t="s">
        <v>357</v>
      </c>
      <c r="L180" s="25" t="s">
        <v>357</v>
      </c>
      <c r="M180" s="24" t="s">
        <v>186</v>
      </c>
      <c r="N180" s="26" t="n">
        <v>0</v>
      </c>
      <c r="O180" s="26" t="n">
        <v>100</v>
      </c>
      <c r="P180" s="26" t="n">
        <v>100</v>
      </c>
      <c r="Q180" s="25" t="s">
        <v>187</v>
      </c>
    </row>
    <row r="181" customFormat="false" ht="15" hidden="false" customHeight="false" outlineLevel="0" collapsed="false">
      <c r="A181" s="24" t="s">
        <v>8</v>
      </c>
      <c r="B181" s="25" t="s">
        <v>3</v>
      </c>
      <c r="C181" s="24" t="s">
        <v>225</v>
      </c>
      <c r="D181" s="24" t="s">
        <v>408</v>
      </c>
      <c r="E181" s="25" t="s">
        <v>206</v>
      </c>
      <c r="F181" s="25" t="s">
        <v>137</v>
      </c>
      <c r="G181" s="26" t="n">
        <v>7600</v>
      </c>
      <c r="H181" s="26" t="n">
        <v>300</v>
      </c>
      <c r="I181" s="26" t="n">
        <v>7300</v>
      </c>
      <c r="J181" s="25" t="s">
        <v>185</v>
      </c>
      <c r="K181" s="25" t="s">
        <v>357</v>
      </c>
      <c r="L181" s="25" t="s">
        <v>357</v>
      </c>
      <c r="M181" s="24" t="s">
        <v>193</v>
      </c>
      <c r="N181" s="26" t="n">
        <v>300</v>
      </c>
      <c r="O181" s="26" t="n">
        <v>300</v>
      </c>
      <c r="P181" s="26" t="n">
        <v>0</v>
      </c>
      <c r="Q181" s="24"/>
    </row>
    <row r="182" customFormat="false" ht="15" hidden="false" customHeight="false" outlineLevel="0" collapsed="false">
      <c r="A182" s="24" t="s">
        <v>8</v>
      </c>
      <c r="B182" s="25" t="s">
        <v>3</v>
      </c>
      <c r="C182" s="24" t="s">
        <v>225</v>
      </c>
      <c r="D182" s="24" t="s">
        <v>409</v>
      </c>
      <c r="E182" s="24" t="s">
        <v>209</v>
      </c>
      <c r="F182" s="25" t="s">
        <v>142</v>
      </c>
      <c r="G182" s="26" t="n">
        <v>61400</v>
      </c>
      <c r="H182" s="26" t="n">
        <v>0</v>
      </c>
      <c r="I182" s="26" t="n">
        <v>61400</v>
      </c>
      <c r="J182" s="25" t="s">
        <v>185</v>
      </c>
      <c r="K182" s="25" t="s">
        <v>357</v>
      </c>
      <c r="L182" s="24"/>
      <c r="M182" s="24" t="s">
        <v>196</v>
      </c>
      <c r="N182" s="26" t="n">
        <v>0</v>
      </c>
      <c r="O182" s="26" t="n">
        <v>0</v>
      </c>
      <c r="P182" s="26" t="n">
        <v>0</v>
      </c>
      <c r="Q182" s="25" t="s">
        <v>197</v>
      </c>
    </row>
    <row r="183" customFormat="false" ht="15" hidden="false" customHeight="false" outlineLevel="0" collapsed="false">
      <c r="A183" s="24" t="s">
        <v>8</v>
      </c>
      <c r="B183" s="25" t="s">
        <v>3</v>
      </c>
      <c r="C183" s="24" t="s">
        <v>225</v>
      </c>
      <c r="D183" s="24" t="s">
        <v>410</v>
      </c>
      <c r="E183" s="25" t="s">
        <v>214</v>
      </c>
      <c r="F183" s="25" t="s">
        <v>138</v>
      </c>
      <c r="G183" s="26" t="n">
        <v>7500</v>
      </c>
      <c r="H183" s="26" t="n">
        <v>0</v>
      </c>
      <c r="I183" s="26" t="n">
        <v>7500</v>
      </c>
      <c r="J183" s="25" t="s">
        <v>185</v>
      </c>
      <c r="K183" s="25" t="s">
        <v>357</v>
      </c>
      <c r="L183" s="25" t="s">
        <v>357</v>
      </c>
      <c r="M183" s="24" t="s">
        <v>186</v>
      </c>
      <c r="N183" s="26" t="n">
        <v>0</v>
      </c>
      <c r="O183" s="26" t="n">
        <v>200</v>
      </c>
      <c r="P183" s="26" t="n">
        <v>200</v>
      </c>
      <c r="Q183" s="25" t="s">
        <v>187</v>
      </c>
    </row>
    <row r="184" customFormat="false" ht="15" hidden="false" customHeight="false" outlineLevel="0" collapsed="false">
      <c r="A184" s="24" t="s">
        <v>8</v>
      </c>
      <c r="B184" s="25" t="s">
        <v>3</v>
      </c>
      <c r="C184" s="24" t="s">
        <v>225</v>
      </c>
      <c r="D184" s="24" t="s">
        <v>411</v>
      </c>
      <c r="E184" s="25" t="s">
        <v>281</v>
      </c>
      <c r="F184" s="25" t="s">
        <v>138</v>
      </c>
      <c r="G184" s="26" t="n">
        <v>6900</v>
      </c>
      <c r="H184" s="26" t="n">
        <v>300</v>
      </c>
      <c r="I184" s="26" t="n">
        <v>6600</v>
      </c>
      <c r="J184" s="25" t="s">
        <v>185</v>
      </c>
      <c r="K184" s="25" t="s">
        <v>357</v>
      </c>
      <c r="L184" s="25" t="s">
        <v>357</v>
      </c>
      <c r="M184" s="24" t="s">
        <v>193</v>
      </c>
      <c r="N184" s="26" t="n">
        <v>300</v>
      </c>
      <c r="O184" s="26" t="n">
        <v>300</v>
      </c>
      <c r="P184" s="26" t="n">
        <v>0</v>
      </c>
      <c r="Q184" s="24"/>
    </row>
    <row r="185" customFormat="false" ht="15" hidden="false" customHeight="false" outlineLevel="0" collapsed="false">
      <c r="A185" s="24" t="s">
        <v>8</v>
      </c>
      <c r="B185" s="25" t="s">
        <v>3</v>
      </c>
      <c r="C185" s="24" t="s">
        <v>225</v>
      </c>
      <c r="D185" s="24" t="s">
        <v>412</v>
      </c>
      <c r="E185" s="25" t="s">
        <v>216</v>
      </c>
      <c r="F185" s="25" t="s">
        <v>144</v>
      </c>
      <c r="G185" s="26" t="n">
        <v>7700</v>
      </c>
      <c r="H185" s="26" t="n">
        <v>300</v>
      </c>
      <c r="I185" s="26" t="n">
        <v>7400</v>
      </c>
      <c r="J185" s="25" t="s">
        <v>185</v>
      </c>
      <c r="K185" s="25" t="s">
        <v>359</v>
      </c>
      <c r="L185" s="25" t="s">
        <v>359</v>
      </c>
      <c r="M185" s="24" t="s">
        <v>193</v>
      </c>
      <c r="N185" s="26" t="n">
        <v>300</v>
      </c>
      <c r="O185" s="26" t="n">
        <v>300</v>
      </c>
      <c r="P185" s="26" t="n">
        <v>0</v>
      </c>
      <c r="Q185" s="24"/>
    </row>
    <row r="186" customFormat="false" ht="15" hidden="false" customHeight="false" outlineLevel="0" collapsed="false">
      <c r="A186" s="24" t="s">
        <v>8</v>
      </c>
      <c r="B186" s="25" t="s">
        <v>3</v>
      </c>
      <c r="C186" s="24" t="s">
        <v>225</v>
      </c>
      <c r="D186" s="24" t="s">
        <v>413</v>
      </c>
      <c r="E186" s="25" t="s">
        <v>266</v>
      </c>
      <c r="F186" s="25" t="s">
        <v>157</v>
      </c>
      <c r="G186" s="26" t="n">
        <v>5800</v>
      </c>
      <c r="H186" s="26" t="n">
        <v>0</v>
      </c>
      <c r="I186" s="26" t="n">
        <v>5800</v>
      </c>
      <c r="J186" s="25" t="s">
        <v>185</v>
      </c>
      <c r="K186" s="25" t="s">
        <v>357</v>
      </c>
      <c r="L186" s="25" t="s">
        <v>357</v>
      </c>
      <c r="M186" s="24" t="s">
        <v>186</v>
      </c>
      <c r="N186" s="26" t="n">
        <v>0</v>
      </c>
      <c r="O186" s="26" t="n">
        <v>200</v>
      </c>
      <c r="P186" s="26" t="n">
        <v>200</v>
      </c>
      <c r="Q186" s="25" t="s">
        <v>187</v>
      </c>
    </row>
    <row r="187" customFormat="false" ht="15" hidden="false" customHeight="false" outlineLevel="0" collapsed="false">
      <c r="A187" s="24" t="s">
        <v>8</v>
      </c>
      <c r="B187" s="25" t="s">
        <v>3</v>
      </c>
      <c r="C187" s="24" t="s">
        <v>225</v>
      </c>
      <c r="D187" s="24" t="s">
        <v>414</v>
      </c>
      <c r="E187" s="24" t="s">
        <v>204</v>
      </c>
      <c r="F187" s="25" t="s">
        <v>205</v>
      </c>
      <c r="G187" s="26" t="n">
        <v>8300</v>
      </c>
      <c r="H187" s="26" t="n">
        <v>0</v>
      </c>
      <c r="I187" s="26" t="n">
        <v>8300</v>
      </c>
      <c r="J187" s="25" t="s">
        <v>185</v>
      </c>
      <c r="K187" s="25" t="s">
        <v>359</v>
      </c>
      <c r="L187" s="25" t="s">
        <v>357</v>
      </c>
      <c r="M187" s="24" t="s">
        <v>181</v>
      </c>
      <c r="N187" s="26" t="n">
        <v>0</v>
      </c>
      <c r="O187" s="26" t="n">
        <v>200</v>
      </c>
      <c r="P187" s="26" t="n">
        <v>200</v>
      </c>
      <c r="Q187" s="25" t="s">
        <v>182</v>
      </c>
    </row>
    <row r="188" customFormat="false" ht="15" hidden="false" customHeight="false" outlineLevel="0" collapsed="false">
      <c r="A188" s="24" t="s">
        <v>8</v>
      </c>
      <c r="B188" s="25" t="s">
        <v>3</v>
      </c>
      <c r="C188" s="24" t="s">
        <v>225</v>
      </c>
      <c r="D188" s="24" t="s">
        <v>415</v>
      </c>
      <c r="E188" s="25" t="s">
        <v>416</v>
      </c>
      <c r="F188" s="25" t="s">
        <v>146</v>
      </c>
      <c r="G188" s="26" t="n">
        <v>30600</v>
      </c>
      <c r="H188" s="26" t="n">
        <v>0</v>
      </c>
      <c r="I188" s="26" t="n">
        <v>30600</v>
      </c>
      <c r="J188" s="25" t="s">
        <v>185</v>
      </c>
      <c r="K188" s="25" t="s">
        <v>357</v>
      </c>
      <c r="L188" s="25" t="s">
        <v>357</v>
      </c>
      <c r="M188" s="24" t="s">
        <v>186</v>
      </c>
      <c r="N188" s="26" t="n">
        <v>0</v>
      </c>
      <c r="O188" s="26" t="n">
        <v>900</v>
      </c>
      <c r="P188" s="26" t="n">
        <v>900</v>
      </c>
      <c r="Q188" s="25" t="s">
        <v>187</v>
      </c>
    </row>
    <row r="189" customFormat="false" ht="15" hidden="false" customHeight="false" outlineLevel="0" collapsed="false">
      <c r="A189" s="24" t="s">
        <v>8</v>
      </c>
      <c r="B189" s="25" t="s">
        <v>3</v>
      </c>
      <c r="C189" s="24" t="s">
        <v>225</v>
      </c>
      <c r="D189" s="24" t="s">
        <v>417</v>
      </c>
      <c r="E189" s="25" t="s">
        <v>219</v>
      </c>
      <c r="F189" s="25" t="s">
        <v>137</v>
      </c>
      <c r="G189" s="26" t="n">
        <v>7600</v>
      </c>
      <c r="H189" s="26" t="n">
        <v>0</v>
      </c>
      <c r="I189" s="26" t="n">
        <v>7600</v>
      </c>
      <c r="J189" s="25" t="s">
        <v>185</v>
      </c>
      <c r="K189" s="25" t="s">
        <v>357</v>
      </c>
      <c r="L189" s="25" t="s">
        <v>357</v>
      </c>
      <c r="M189" s="24" t="s">
        <v>186</v>
      </c>
      <c r="N189" s="26" t="n">
        <v>0</v>
      </c>
      <c r="O189" s="26" t="n">
        <v>200</v>
      </c>
      <c r="P189" s="26" t="n">
        <v>200</v>
      </c>
      <c r="Q189" s="25" t="s">
        <v>187</v>
      </c>
    </row>
    <row r="190" customFormat="false" ht="15" hidden="false" customHeight="false" outlineLevel="0" collapsed="false">
      <c r="A190" s="24" t="s">
        <v>8</v>
      </c>
      <c r="B190" s="25" t="s">
        <v>3</v>
      </c>
      <c r="C190" s="24" t="s">
        <v>225</v>
      </c>
      <c r="D190" s="24" t="s">
        <v>418</v>
      </c>
      <c r="E190" s="25" t="s">
        <v>222</v>
      </c>
      <c r="F190" s="25" t="s">
        <v>137</v>
      </c>
      <c r="G190" s="26" t="n">
        <v>7900</v>
      </c>
      <c r="H190" s="26" t="n">
        <v>300</v>
      </c>
      <c r="I190" s="26" t="n">
        <v>7600</v>
      </c>
      <c r="J190" s="25" t="s">
        <v>185</v>
      </c>
      <c r="K190" s="25" t="s">
        <v>357</v>
      </c>
      <c r="L190" s="25" t="s">
        <v>357</v>
      </c>
      <c r="M190" s="24" t="s">
        <v>193</v>
      </c>
      <c r="N190" s="26" t="n">
        <v>300</v>
      </c>
      <c r="O190" s="26" t="n">
        <v>300</v>
      </c>
      <c r="P190" s="26" t="n">
        <v>0</v>
      </c>
      <c r="Q190" s="24"/>
    </row>
    <row r="191" customFormat="false" ht="15" hidden="false" customHeight="false" outlineLevel="0" collapsed="false">
      <c r="A191" s="24" t="s">
        <v>8</v>
      </c>
      <c r="B191" s="25" t="s">
        <v>3</v>
      </c>
      <c r="C191" s="24" t="s">
        <v>225</v>
      </c>
      <c r="D191" s="24" t="s">
        <v>419</v>
      </c>
      <c r="E191" s="25" t="s">
        <v>304</v>
      </c>
      <c r="F191" s="25" t="s">
        <v>138</v>
      </c>
      <c r="G191" s="26" t="n">
        <v>6500</v>
      </c>
      <c r="H191" s="26" t="n">
        <v>300</v>
      </c>
      <c r="I191" s="26" t="n">
        <v>6200</v>
      </c>
      <c r="J191" s="25" t="s">
        <v>185</v>
      </c>
      <c r="K191" s="25" t="s">
        <v>357</v>
      </c>
      <c r="L191" s="25" t="s">
        <v>357</v>
      </c>
      <c r="M191" s="24" t="s">
        <v>193</v>
      </c>
      <c r="N191" s="26" t="n">
        <v>300</v>
      </c>
      <c r="O191" s="26" t="n">
        <v>300</v>
      </c>
      <c r="P191" s="26" t="n">
        <v>0</v>
      </c>
      <c r="Q191" s="24"/>
    </row>
    <row r="192" customFormat="false" ht="15" hidden="false" customHeight="false" outlineLevel="0" collapsed="false">
      <c r="A192" s="24" t="s">
        <v>8</v>
      </c>
      <c r="B192" s="25" t="s">
        <v>3</v>
      </c>
      <c r="C192" s="24" t="s">
        <v>225</v>
      </c>
      <c r="D192" s="24" t="s">
        <v>419</v>
      </c>
      <c r="E192" s="25" t="s">
        <v>255</v>
      </c>
      <c r="F192" s="25" t="s">
        <v>156</v>
      </c>
      <c r="G192" s="26" t="n">
        <v>2900</v>
      </c>
      <c r="H192" s="26" t="n">
        <v>0</v>
      </c>
      <c r="I192" s="26" t="n">
        <v>2900</v>
      </c>
      <c r="J192" s="25" t="s">
        <v>185</v>
      </c>
      <c r="K192" s="25" t="s">
        <v>357</v>
      </c>
      <c r="L192" s="25" t="s">
        <v>357</v>
      </c>
      <c r="M192" s="24" t="s">
        <v>186</v>
      </c>
      <c r="N192" s="26" t="n">
        <v>0</v>
      </c>
      <c r="O192" s="26" t="n">
        <v>100</v>
      </c>
      <c r="P192" s="26" t="n">
        <v>100</v>
      </c>
      <c r="Q192" s="25" t="s">
        <v>187</v>
      </c>
    </row>
    <row r="193" customFormat="false" ht="15" hidden="false" customHeight="false" outlineLevel="0" collapsed="false">
      <c r="A193" s="24" t="s">
        <v>8</v>
      </c>
      <c r="B193" s="25" t="s">
        <v>3</v>
      </c>
      <c r="C193" s="24" t="s">
        <v>319</v>
      </c>
      <c r="D193" s="24" t="s">
        <v>420</v>
      </c>
      <c r="E193" s="25" t="s">
        <v>188</v>
      </c>
      <c r="F193" s="25" t="s">
        <v>189</v>
      </c>
      <c r="G193" s="26" t="n">
        <v>9900</v>
      </c>
      <c r="H193" s="26" t="n">
        <v>700</v>
      </c>
      <c r="I193" s="26" t="n">
        <v>9200</v>
      </c>
      <c r="J193" s="25" t="s">
        <v>185</v>
      </c>
      <c r="K193" s="25" t="s">
        <v>357</v>
      </c>
      <c r="L193" s="25" t="s">
        <v>357</v>
      </c>
      <c r="M193" s="24" t="s">
        <v>193</v>
      </c>
      <c r="N193" s="26" t="n">
        <v>700</v>
      </c>
      <c r="O193" s="26" t="n">
        <v>700</v>
      </c>
      <c r="P193" s="26" t="n">
        <v>0</v>
      </c>
      <c r="Q193" s="24"/>
    </row>
    <row r="194" customFormat="false" ht="15" hidden="false" customHeight="false" outlineLevel="0" collapsed="false">
      <c r="A194" s="24" t="s">
        <v>8</v>
      </c>
      <c r="B194" s="25" t="s">
        <v>3</v>
      </c>
      <c r="C194" s="24" t="s">
        <v>319</v>
      </c>
      <c r="D194" s="24" t="s">
        <v>421</v>
      </c>
      <c r="E194" s="25" t="s">
        <v>206</v>
      </c>
      <c r="F194" s="25" t="s">
        <v>137</v>
      </c>
      <c r="G194" s="26" t="n">
        <v>10700</v>
      </c>
      <c r="H194" s="26" t="n">
        <v>0</v>
      </c>
      <c r="I194" s="26" t="n">
        <v>10700</v>
      </c>
      <c r="J194" s="25" t="s">
        <v>185</v>
      </c>
      <c r="K194" s="25" t="s">
        <v>359</v>
      </c>
      <c r="L194" s="25" t="s">
        <v>357</v>
      </c>
      <c r="M194" s="24" t="s">
        <v>181</v>
      </c>
      <c r="N194" s="26" t="n">
        <v>0</v>
      </c>
      <c r="O194" s="26" t="n">
        <v>200</v>
      </c>
      <c r="P194" s="26" t="n">
        <v>200</v>
      </c>
      <c r="Q194" s="25" t="s">
        <v>182</v>
      </c>
    </row>
    <row r="195" customFormat="false" ht="15" hidden="false" customHeight="false" outlineLevel="0" collapsed="false">
      <c r="A195" s="24" t="s">
        <v>8</v>
      </c>
      <c r="B195" s="25" t="s">
        <v>3</v>
      </c>
      <c r="C195" s="24" t="s">
        <v>319</v>
      </c>
      <c r="D195" s="24" t="s">
        <v>422</v>
      </c>
      <c r="E195" s="25" t="s">
        <v>239</v>
      </c>
      <c r="F195" s="25" t="s">
        <v>151</v>
      </c>
      <c r="G195" s="26" t="n">
        <v>32300</v>
      </c>
      <c r="H195" s="26" t="n">
        <v>0</v>
      </c>
      <c r="I195" s="26" t="n">
        <v>32300</v>
      </c>
      <c r="J195" s="25" t="s">
        <v>185</v>
      </c>
      <c r="K195" s="25" t="s">
        <v>359</v>
      </c>
      <c r="L195" s="25" t="s">
        <v>357</v>
      </c>
      <c r="M195" s="24" t="s">
        <v>181</v>
      </c>
      <c r="N195" s="26" t="n">
        <v>0</v>
      </c>
      <c r="O195" s="26" t="n">
        <v>700</v>
      </c>
      <c r="P195" s="26" t="n">
        <v>700</v>
      </c>
      <c r="Q195" s="25" t="s">
        <v>182</v>
      </c>
    </row>
    <row r="196" customFormat="false" ht="15" hidden="false" customHeight="false" outlineLevel="0" collapsed="false">
      <c r="A196" s="24" t="s">
        <v>8</v>
      </c>
      <c r="B196" s="25" t="s">
        <v>3</v>
      </c>
      <c r="C196" s="24" t="s">
        <v>319</v>
      </c>
      <c r="D196" s="24" t="s">
        <v>423</v>
      </c>
      <c r="E196" s="25" t="s">
        <v>48</v>
      </c>
      <c r="F196" s="25" t="s">
        <v>218</v>
      </c>
      <c r="G196" s="26" t="n">
        <v>60600</v>
      </c>
      <c r="H196" s="26" t="n">
        <v>0</v>
      </c>
      <c r="I196" s="26" t="n">
        <v>60600</v>
      </c>
      <c r="J196" s="25" t="s">
        <v>185</v>
      </c>
      <c r="K196" s="25" t="s">
        <v>359</v>
      </c>
      <c r="L196" s="25" t="s">
        <v>357</v>
      </c>
      <c r="M196" s="24" t="s">
        <v>181</v>
      </c>
      <c r="N196" s="26" t="n">
        <v>0</v>
      </c>
      <c r="O196" s="26" t="n">
        <v>1300</v>
      </c>
      <c r="P196" s="26" t="n">
        <v>1300</v>
      </c>
      <c r="Q196" s="25" t="s">
        <v>182</v>
      </c>
    </row>
    <row r="197" customFormat="false" ht="15" hidden="false" customHeight="false" outlineLevel="0" collapsed="false">
      <c r="A197" s="24" t="s">
        <v>8</v>
      </c>
      <c r="B197" s="25" t="s">
        <v>3</v>
      </c>
      <c r="C197" s="24" t="s">
        <v>319</v>
      </c>
      <c r="D197" s="24" t="s">
        <v>424</v>
      </c>
      <c r="E197" s="25" t="s">
        <v>201</v>
      </c>
      <c r="F197" s="25" t="s">
        <v>134</v>
      </c>
      <c r="G197" s="26" t="n">
        <v>38300</v>
      </c>
      <c r="H197" s="26" t="n">
        <v>0</v>
      </c>
      <c r="I197" s="26" t="n">
        <v>38300</v>
      </c>
      <c r="J197" s="25" t="s">
        <v>185</v>
      </c>
      <c r="K197" s="25" t="s">
        <v>359</v>
      </c>
      <c r="L197" s="25" t="s">
        <v>357</v>
      </c>
      <c r="M197" s="24" t="s">
        <v>181</v>
      </c>
      <c r="N197" s="26" t="n">
        <v>0</v>
      </c>
      <c r="O197" s="26" t="n">
        <v>800</v>
      </c>
      <c r="P197" s="26" t="n">
        <v>800</v>
      </c>
      <c r="Q197" s="25" t="s">
        <v>182</v>
      </c>
    </row>
    <row r="198" customFormat="false" ht="15" hidden="false" customHeight="false" outlineLevel="0" collapsed="false">
      <c r="A198" s="24" t="s">
        <v>8</v>
      </c>
      <c r="B198" s="25" t="s">
        <v>3</v>
      </c>
      <c r="C198" s="24" t="s">
        <v>319</v>
      </c>
      <c r="D198" s="24" t="s">
        <v>425</v>
      </c>
      <c r="E198" s="25" t="s">
        <v>195</v>
      </c>
      <c r="F198" s="25" t="s">
        <v>144</v>
      </c>
      <c r="G198" s="26" t="n">
        <v>11800</v>
      </c>
      <c r="H198" s="26" t="n">
        <v>800</v>
      </c>
      <c r="I198" s="26" t="n">
        <v>11000</v>
      </c>
      <c r="J198" s="25" t="s">
        <v>185</v>
      </c>
      <c r="K198" s="25" t="s">
        <v>357</v>
      </c>
      <c r="L198" s="25" t="s">
        <v>357</v>
      </c>
      <c r="M198" s="24" t="s">
        <v>193</v>
      </c>
      <c r="N198" s="26" t="n">
        <v>800</v>
      </c>
      <c r="O198" s="26" t="n">
        <v>800</v>
      </c>
      <c r="P198" s="26" t="n">
        <v>0</v>
      </c>
      <c r="Q198" s="24"/>
    </row>
    <row r="199" customFormat="false" ht="15" hidden="false" customHeight="false" outlineLevel="0" collapsed="false">
      <c r="A199" s="24" t="s">
        <v>8</v>
      </c>
      <c r="B199" s="25" t="s">
        <v>3</v>
      </c>
      <c r="C199" s="24" t="s">
        <v>319</v>
      </c>
      <c r="D199" s="24" t="s">
        <v>426</v>
      </c>
      <c r="E199" s="25" t="s">
        <v>194</v>
      </c>
      <c r="F199" s="25" t="s">
        <v>145</v>
      </c>
      <c r="G199" s="26" t="n">
        <v>13000</v>
      </c>
      <c r="H199" s="26" t="n">
        <v>0</v>
      </c>
      <c r="I199" s="26" t="n">
        <v>13000</v>
      </c>
      <c r="J199" s="25" t="s">
        <v>185</v>
      </c>
      <c r="K199" s="25" t="s">
        <v>359</v>
      </c>
      <c r="L199" s="25" t="s">
        <v>357</v>
      </c>
      <c r="M199" s="24" t="s">
        <v>181</v>
      </c>
      <c r="N199" s="26" t="n">
        <v>0</v>
      </c>
      <c r="O199" s="26" t="n">
        <v>300</v>
      </c>
      <c r="P199" s="26" t="n">
        <v>300</v>
      </c>
      <c r="Q199" s="25" t="s">
        <v>182</v>
      </c>
    </row>
    <row r="200" customFormat="false" ht="15" hidden="false" customHeight="false" outlineLevel="0" collapsed="false">
      <c r="A200" s="24" t="s">
        <v>8</v>
      </c>
      <c r="B200" s="25" t="s">
        <v>3</v>
      </c>
      <c r="C200" s="24" t="s">
        <v>319</v>
      </c>
      <c r="D200" s="24" t="s">
        <v>427</v>
      </c>
      <c r="E200" s="25" t="s">
        <v>219</v>
      </c>
      <c r="F200" s="25" t="s">
        <v>137</v>
      </c>
      <c r="G200" s="26" t="n">
        <v>15100</v>
      </c>
      <c r="H200" s="26" t="n">
        <v>1100</v>
      </c>
      <c r="I200" s="26" t="n">
        <v>14000</v>
      </c>
      <c r="J200" s="25" t="s">
        <v>185</v>
      </c>
      <c r="K200" s="25" t="s">
        <v>357</v>
      </c>
      <c r="L200" s="25" t="s">
        <v>357</v>
      </c>
      <c r="M200" s="24" t="s">
        <v>193</v>
      </c>
      <c r="N200" s="26" t="n">
        <v>1100</v>
      </c>
      <c r="O200" s="26" t="n">
        <v>1100</v>
      </c>
      <c r="P200" s="26" t="n">
        <v>0</v>
      </c>
      <c r="Q200" s="24"/>
    </row>
    <row r="201" customFormat="false" ht="15" hidden="false" customHeight="false" outlineLevel="0" collapsed="false">
      <c r="A201" s="24" t="s">
        <v>8</v>
      </c>
      <c r="B201" s="25" t="s">
        <v>3</v>
      </c>
      <c r="C201" s="24" t="s">
        <v>319</v>
      </c>
      <c r="D201" s="24" t="s">
        <v>428</v>
      </c>
      <c r="E201" s="25" t="s">
        <v>387</v>
      </c>
      <c r="F201" s="25" t="s">
        <v>146</v>
      </c>
      <c r="G201" s="26" t="n">
        <v>113300</v>
      </c>
      <c r="H201" s="26" t="n">
        <v>0</v>
      </c>
      <c r="I201" s="26" t="n">
        <v>113300</v>
      </c>
      <c r="J201" s="25" t="s">
        <v>185</v>
      </c>
      <c r="K201" s="25" t="s">
        <v>359</v>
      </c>
      <c r="L201" s="25" t="s">
        <v>357</v>
      </c>
      <c r="M201" s="24" t="s">
        <v>181</v>
      </c>
      <c r="N201" s="26" t="n">
        <v>0</v>
      </c>
      <c r="O201" s="26" t="n">
        <v>2400</v>
      </c>
      <c r="P201" s="26" t="n">
        <v>2400</v>
      </c>
      <c r="Q201" s="25" t="s">
        <v>182</v>
      </c>
    </row>
    <row r="202" customFormat="false" ht="15" hidden="false" customHeight="false" outlineLevel="0" collapsed="false">
      <c r="A202" s="24" t="s">
        <v>8</v>
      </c>
      <c r="B202" s="25" t="s">
        <v>3</v>
      </c>
      <c r="C202" s="24" t="s">
        <v>319</v>
      </c>
      <c r="D202" s="24" t="s">
        <v>429</v>
      </c>
      <c r="E202" s="25" t="s">
        <v>211</v>
      </c>
      <c r="F202" s="25" t="s">
        <v>212</v>
      </c>
      <c r="G202" s="26" t="n">
        <v>11800</v>
      </c>
      <c r="H202" s="26" t="n">
        <v>0</v>
      </c>
      <c r="I202" s="26" t="n">
        <v>11800</v>
      </c>
      <c r="J202" s="25" t="s">
        <v>185</v>
      </c>
      <c r="K202" s="25" t="s">
        <v>359</v>
      </c>
      <c r="L202" s="25" t="s">
        <v>357</v>
      </c>
      <c r="M202" s="24" t="s">
        <v>181</v>
      </c>
      <c r="N202" s="26" t="n">
        <v>0</v>
      </c>
      <c r="O202" s="26" t="n">
        <v>200</v>
      </c>
      <c r="P202" s="26" t="n">
        <v>200</v>
      </c>
      <c r="Q202" s="25" t="s">
        <v>182</v>
      </c>
    </row>
    <row r="203" customFormat="false" ht="15" hidden="false" customHeight="false" outlineLevel="0" collapsed="false">
      <c r="A203" s="24" t="s">
        <v>8</v>
      </c>
      <c r="B203" s="25" t="s">
        <v>3</v>
      </c>
      <c r="C203" s="24" t="s">
        <v>319</v>
      </c>
      <c r="D203" s="24" t="s">
        <v>430</v>
      </c>
      <c r="E203" s="25" t="s">
        <v>202</v>
      </c>
      <c r="F203" s="25" t="s">
        <v>144</v>
      </c>
      <c r="G203" s="26" t="n">
        <v>13200</v>
      </c>
      <c r="H203" s="26" t="n">
        <v>900</v>
      </c>
      <c r="I203" s="26" t="n">
        <v>12300</v>
      </c>
      <c r="J203" s="25" t="s">
        <v>185</v>
      </c>
      <c r="K203" s="25" t="s">
        <v>357</v>
      </c>
      <c r="L203" s="25" t="s">
        <v>357</v>
      </c>
      <c r="M203" s="24" t="s">
        <v>193</v>
      </c>
      <c r="N203" s="26" t="n">
        <v>900</v>
      </c>
      <c r="O203" s="26" t="n">
        <v>900</v>
      </c>
      <c r="P203" s="26" t="n">
        <v>0</v>
      </c>
      <c r="Q203" s="24"/>
    </row>
    <row r="204" customFormat="false" ht="15" hidden="false" customHeight="false" outlineLevel="0" collapsed="false">
      <c r="A204" s="24" t="s">
        <v>8</v>
      </c>
      <c r="B204" s="25" t="s">
        <v>3</v>
      </c>
      <c r="C204" s="24" t="s">
        <v>319</v>
      </c>
      <c r="D204" s="24" t="s">
        <v>431</v>
      </c>
      <c r="E204" s="24" t="s">
        <v>358</v>
      </c>
      <c r="F204" s="25" t="s">
        <v>135</v>
      </c>
      <c r="G204" s="26" t="n">
        <v>61900</v>
      </c>
      <c r="H204" s="26" t="n">
        <v>0</v>
      </c>
      <c r="I204" s="26" t="n">
        <v>61900</v>
      </c>
      <c r="J204" s="25" t="s">
        <v>185</v>
      </c>
      <c r="K204" s="25" t="s">
        <v>359</v>
      </c>
      <c r="L204" s="25" t="s">
        <v>357</v>
      </c>
      <c r="M204" s="24" t="s">
        <v>181</v>
      </c>
      <c r="N204" s="26" t="n">
        <v>0</v>
      </c>
      <c r="O204" s="26" t="n">
        <v>1300</v>
      </c>
      <c r="P204" s="26" t="n">
        <v>1300</v>
      </c>
      <c r="Q204" s="25" t="s">
        <v>182</v>
      </c>
    </row>
    <row r="205" customFormat="false" ht="15" hidden="false" customHeight="false" outlineLevel="0" collapsed="false">
      <c r="A205" s="24" t="s">
        <v>8</v>
      </c>
      <c r="B205" s="25" t="s">
        <v>3</v>
      </c>
      <c r="C205" s="24" t="s">
        <v>319</v>
      </c>
      <c r="D205" s="24" t="s">
        <v>432</v>
      </c>
      <c r="E205" s="24" t="s">
        <v>331</v>
      </c>
      <c r="F205" s="25" t="s">
        <v>50</v>
      </c>
      <c r="G205" s="26" t="n">
        <v>7900</v>
      </c>
      <c r="H205" s="26" t="n">
        <v>0</v>
      </c>
      <c r="I205" s="26" t="n">
        <v>7900</v>
      </c>
      <c r="J205" s="25" t="s">
        <v>185</v>
      </c>
      <c r="K205" s="25" t="s">
        <v>357</v>
      </c>
      <c r="L205" s="25" t="s">
        <v>357</v>
      </c>
      <c r="M205" s="24" t="s">
        <v>186</v>
      </c>
      <c r="N205" s="26" t="n">
        <v>0</v>
      </c>
      <c r="O205" s="26" t="n">
        <v>200</v>
      </c>
      <c r="P205" s="26" t="n">
        <v>200</v>
      </c>
      <c r="Q205" s="25" t="s">
        <v>187</v>
      </c>
    </row>
    <row r="206" customFormat="false" ht="15" hidden="false" customHeight="false" outlineLevel="0" collapsed="false">
      <c r="A206" s="24" t="s">
        <v>8</v>
      </c>
      <c r="B206" s="25" t="s">
        <v>3</v>
      </c>
      <c r="C206" s="24" t="s">
        <v>319</v>
      </c>
      <c r="D206" s="24" t="s">
        <v>433</v>
      </c>
      <c r="E206" s="25" t="s">
        <v>352</v>
      </c>
      <c r="F206" s="25" t="s">
        <v>150</v>
      </c>
      <c r="G206" s="26" t="n">
        <v>72700</v>
      </c>
      <c r="H206" s="26" t="n">
        <v>0</v>
      </c>
      <c r="I206" s="26" t="n">
        <v>72700</v>
      </c>
      <c r="J206" s="25" t="s">
        <v>185</v>
      </c>
      <c r="K206" s="25" t="s">
        <v>357</v>
      </c>
      <c r="L206" s="25" t="s">
        <v>357</v>
      </c>
      <c r="M206" s="24" t="s">
        <v>186</v>
      </c>
      <c r="N206" s="26" t="n">
        <v>0</v>
      </c>
      <c r="O206" s="26" t="n">
        <v>1500</v>
      </c>
      <c r="P206" s="26" t="n">
        <v>1500</v>
      </c>
      <c r="Q206" s="25" t="s">
        <v>187</v>
      </c>
    </row>
    <row r="207" customFormat="false" ht="15" hidden="false" customHeight="false" outlineLevel="0" collapsed="false">
      <c r="A207" s="24" t="s">
        <v>8</v>
      </c>
      <c r="B207" s="25" t="s">
        <v>3</v>
      </c>
      <c r="C207" s="24" t="s">
        <v>319</v>
      </c>
      <c r="D207" s="24" t="s">
        <v>434</v>
      </c>
      <c r="E207" s="25" t="s">
        <v>272</v>
      </c>
      <c r="F207" s="25" t="s">
        <v>218</v>
      </c>
      <c r="G207" s="26" t="n">
        <v>8000</v>
      </c>
      <c r="H207" s="26" t="n">
        <v>0</v>
      </c>
      <c r="I207" s="26" t="n">
        <v>8000</v>
      </c>
      <c r="J207" s="25" t="s">
        <v>185</v>
      </c>
      <c r="K207" s="25" t="s">
        <v>357</v>
      </c>
      <c r="L207" s="25" t="s">
        <v>357</v>
      </c>
      <c r="M207" s="24" t="s">
        <v>186</v>
      </c>
      <c r="N207" s="26" t="n">
        <v>0</v>
      </c>
      <c r="O207" s="26" t="n">
        <v>200</v>
      </c>
      <c r="P207" s="26" t="n">
        <v>200</v>
      </c>
      <c r="Q207" s="25" t="s">
        <v>187</v>
      </c>
    </row>
    <row r="208" customFormat="false" ht="15" hidden="false" customHeight="false" outlineLevel="0" collapsed="false">
      <c r="A208" s="24" t="s">
        <v>8</v>
      </c>
      <c r="B208" s="25" t="s">
        <v>3</v>
      </c>
      <c r="C208" s="24" t="s">
        <v>319</v>
      </c>
      <c r="D208" s="24" t="s">
        <v>435</v>
      </c>
      <c r="E208" s="24" t="s">
        <v>361</v>
      </c>
      <c r="F208" s="25" t="s">
        <v>135</v>
      </c>
      <c r="G208" s="26" t="n">
        <v>53200</v>
      </c>
      <c r="H208" s="26" t="n">
        <v>0</v>
      </c>
      <c r="I208" s="26" t="n">
        <v>53200</v>
      </c>
      <c r="J208" s="25" t="s">
        <v>185</v>
      </c>
      <c r="K208" s="25" t="s">
        <v>359</v>
      </c>
      <c r="L208" s="25" t="s">
        <v>357</v>
      </c>
      <c r="M208" s="24" t="s">
        <v>181</v>
      </c>
      <c r="N208" s="26" t="n">
        <v>0</v>
      </c>
      <c r="O208" s="26" t="n">
        <v>1100</v>
      </c>
      <c r="P208" s="26" t="n">
        <v>1100</v>
      </c>
      <c r="Q208" s="25" t="s">
        <v>182</v>
      </c>
    </row>
    <row r="209" customFormat="false" ht="15" hidden="false" customHeight="false" outlineLevel="0" collapsed="false">
      <c r="A209" s="24" t="s">
        <v>8</v>
      </c>
      <c r="B209" s="25" t="s">
        <v>3</v>
      </c>
      <c r="C209" s="24" t="s">
        <v>319</v>
      </c>
      <c r="D209" s="24" t="s">
        <v>436</v>
      </c>
      <c r="E209" s="25" t="s">
        <v>223</v>
      </c>
      <c r="F209" s="25" t="s">
        <v>189</v>
      </c>
      <c r="G209" s="26" t="n">
        <v>8600</v>
      </c>
      <c r="H209" s="26" t="n">
        <v>0</v>
      </c>
      <c r="I209" s="26" t="n">
        <v>8600</v>
      </c>
      <c r="J209" s="25" t="s">
        <v>185</v>
      </c>
      <c r="K209" s="25" t="s">
        <v>359</v>
      </c>
      <c r="L209" s="25" t="s">
        <v>357</v>
      </c>
      <c r="M209" s="24" t="s">
        <v>181</v>
      </c>
      <c r="N209" s="26" t="n">
        <v>0</v>
      </c>
      <c r="O209" s="26" t="n">
        <v>200</v>
      </c>
      <c r="P209" s="26" t="n">
        <v>200</v>
      </c>
      <c r="Q209" s="25" t="s">
        <v>182</v>
      </c>
    </row>
    <row r="210" customFormat="false" ht="15" hidden="false" customHeight="false" outlineLevel="0" collapsed="false">
      <c r="A210" s="24" t="s">
        <v>8</v>
      </c>
      <c r="B210" s="25" t="s">
        <v>3</v>
      </c>
      <c r="C210" s="24" t="s">
        <v>319</v>
      </c>
      <c r="D210" s="24" t="s">
        <v>437</v>
      </c>
      <c r="E210" s="25" t="s">
        <v>222</v>
      </c>
      <c r="F210" s="25" t="s">
        <v>137</v>
      </c>
      <c r="G210" s="26" t="n">
        <v>13200</v>
      </c>
      <c r="H210" s="26" t="n">
        <v>0</v>
      </c>
      <c r="I210" s="26" t="n">
        <v>13200</v>
      </c>
      <c r="J210" s="25" t="s">
        <v>185</v>
      </c>
      <c r="K210" s="25" t="s">
        <v>359</v>
      </c>
      <c r="L210" s="25" t="s">
        <v>357</v>
      </c>
      <c r="M210" s="24" t="s">
        <v>181</v>
      </c>
      <c r="N210" s="26" t="n">
        <v>0</v>
      </c>
      <c r="O210" s="26" t="n">
        <v>300</v>
      </c>
      <c r="P210" s="26" t="n">
        <v>300</v>
      </c>
      <c r="Q210" s="25" t="s">
        <v>182</v>
      </c>
    </row>
    <row r="211" customFormat="false" ht="15" hidden="false" customHeight="false" outlineLevel="0" collapsed="false">
      <c r="A211" s="24" t="s">
        <v>8</v>
      </c>
      <c r="B211" s="25" t="s">
        <v>3</v>
      </c>
      <c r="C211" s="24" t="s">
        <v>319</v>
      </c>
      <c r="D211" s="24" t="s">
        <v>438</v>
      </c>
      <c r="E211" s="25" t="s">
        <v>214</v>
      </c>
      <c r="F211" s="25" t="s">
        <v>138</v>
      </c>
      <c r="G211" s="26" t="n">
        <v>12300</v>
      </c>
      <c r="H211" s="26" t="n">
        <v>0</v>
      </c>
      <c r="I211" s="26" t="n">
        <v>12300</v>
      </c>
      <c r="J211" s="25" t="s">
        <v>185</v>
      </c>
      <c r="K211" s="25" t="s">
        <v>357</v>
      </c>
      <c r="L211" s="25" t="s">
        <v>357</v>
      </c>
      <c r="M211" s="24" t="s">
        <v>186</v>
      </c>
      <c r="N211" s="26" t="n">
        <v>0</v>
      </c>
      <c r="O211" s="26" t="n">
        <v>300</v>
      </c>
      <c r="P211" s="26" t="n">
        <v>300</v>
      </c>
      <c r="Q211" s="25" t="s">
        <v>187</v>
      </c>
    </row>
    <row r="212" customFormat="false" ht="15" hidden="false" customHeight="false" outlineLevel="0" collapsed="false">
      <c r="A212" s="24" t="s">
        <v>8</v>
      </c>
      <c r="B212" s="25" t="s">
        <v>3</v>
      </c>
      <c r="C212" s="24" t="s">
        <v>319</v>
      </c>
      <c r="D212" s="24" t="s">
        <v>439</v>
      </c>
      <c r="E212" s="25" t="s">
        <v>264</v>
      </c>
      <c r="F212" s="25" t="s">
        <v>137</v>
      </c>
      <c r="G212" s="26" t="n">
        <v>27100</v>
      </c>
      <c r="H212" s="26" t="n">
        <v>0</v>
      </c>
      <c r="I212" s="26" t="n">
        <v>27100</v>
      </c>
      <c r="J212" s="25" t="s">
        <v>185</v>
      </c>
      <c r="K212" s="25" t="s">
        <v>357</v>
      </c>
      <c r="L212" s="25" t="s">
        <v>357</v>
      </c>
      <c r="M212" s="24" t="s">
        <v>186</v>
      </c>
      <c r="N212" s="26" t="n">
        <v>0</v>
      </c>
      <c r="O212" s="26" t="n">
        <v>600</v>
      </c>
      <c r="P212" s="26" t="n">
        <v>600</v>
      </c>
      <c r="Q212" s="25" t="s">
        <v>187</v>
      </c>
    </row>
    <row r="213" customFormat="false" ht="15" hidden="false" customHeight="false" outlineLevel="0" collapsed="false">
      <c r="A213" s="24" t="s">
        <v>8</v>
      </c>
      <c r="B213" s="25" t="s">
        <v>3</v>
      </c>
      <c r="C213" s="24" t="s">
        <v>319</v>
      </c>
      <c r="D213" s="24" t="s">
        <v>440</v>
      </c>
      <c r="E213" s="25" t="s">
        <v>215</v>
      </c>
      <c r="F213" s="25" t="s">
        <v>145</v>
      </c>
      <c r="G213" s="26" t="n">
        <v>19200</v>
      </c>
      <c r="H213" s="26" t="n">
        <v>0</v>
      </c>
      <c r="I213" s="26" t="n">
        <v>19200</v>
      </c>
      <c r="J213" s="25" t="s">
        <v>185</v>
      </c>
      <c r="K213" s="25" t="s">
        <v>357</v>
      </c>
      <c r="L213" s="25" t="s">
        <v>357</v>
      </c>
      <c r="M213" s="24" t="s">
        <v>186</v>
      </c>
      <c r="N213" s="26" t="n">
        <v>0</v>
      </c>
      <c r="O213" s="26" t="n">
        <v>400</v>
      </c>
      <c r="P213" s="26" t="n">
        <v>400</v>
      </c>
      <c r="Q213" s="25" t="s">
        <v>187</v>
      </c>
    </row>
    <row r="214" customFormat="false" ht="15" hidden="false" customHeight="false" outlineLevel="0" collapsed="false">
      <c r="A214" s="24" t="s">
        <v>8</v>
      </c>
      <c r="B214" s="25" t="s">
        <v>3</v>
      </c>
      <c r="C214" s="24" t="s">
        <v>319</v>
      </c>
      <c r="D214" s="24" t="s">
        <v>441</v>
      </c>
      <c r="E214" s="24" t="s">
        <v>385</v>
      </c>
      <c r="F214" s="25" t="s">
        <v>135</v>
      </c>
      <c r="G214" s="26" t="n">
        <v>37100</v>
      </c>
      <c r="H214" s="26" t="n">
        <v>0</v>
      </c>
      <c r="I214" s="26" t="n">
        <v>37100</v>
      </c>
      <c r="J214" s="25" t="s">
        <v>185</v>
      </c>
      <c r="K214" s="25" t="s">
        <v>357</v>
      </c>
      <c r="L214" s="25" t="s">
        <v>357</v>
      </c>
      <c r="M214" s="24" t="s">
        <v>186</v>
      </c>
      <c r="N214" s="26" t="n">
        <v>0</v>
      </c>
      <c r="O214" s="26" t="n">
        <v>800</v>
      </c>
      <c r="P214" s="26" t="n">
        <v>800</v>
      </c>
      <c r="Q214" s="25" t="s">
        <v>187</v>
      </c>
    </row>
    <row r="215" customFormat="false" ht="15" hidden="false" customHeight="false" outlineLevel="0" collapsed="false">
      <c r="A215" s="24" t="s">
        <v>8</v>
      </c>
      <c r="B215" s="25" t="s">
        <v>3</v>
      </c>
      <c r="C215" s="24" t="s">
        <v>319</v>
      </c>
      <c r="D215" s="24" t="s">
        <v>442</v>
      </c>
      <c r="E215" s="25" t="s">
        <v>393</v>
      </c>
      <c r="F215" s="25" t="s">
        <v>135</v>
      </c>
      <c r="G215" s="26" t="n">
        <v>40700</v>
      </c>
      <c r="H215" s="26" t="n">
        <v>0</v>
      </c>
      <c r="I215" s="26" t="n">
        <v>40700</v>
      </c>
      <c r="J215" s="25" t="s">
        <v>185</v>
      </c>
      <c r="K215" s="25" t="s">
        <v>357</v>
      </c>
      <c r="L215" s="25" t="s">
        <v>357</v>
      </c>
      <c r="M215" s="24" t="s">
        <v>186</v>
      </c>
      <c r="N215" s="26" t="n">
        <v>0</v>
      </c>
      <c r="O215" s="26" t="n">
        <v>900</v>
      </c>
      <c r="P215" s="26" t="n">
        <v>900</v>
      </c>
      <c r="Q215" s="25" t="s">
        <v>187</v>
      </c>
    </row>
    <row r="216" customFormat="false" ht="15" hidden="false" customHeight="false" outlineLevel="0" collapsed="false">
      <c r="A216" s="24" t="s">
        <v>8</v>
      </c>
      <c r="B216" s="25" t="s">
        <v>3</v>
      </c>
      <c r="C216" s="24" t="s">
        <v>319</v>
      </c>
      <c r="D216" s="24" t="s">
        <v>443</v>
      </c>
      <c r="E216" s="25" t="s">
        <v>281</v>
      </c>
      <c r="F216" s="25" t="s">
        <v>138</v>
      </c>
      <c r="G216" s="26" t="n">
        <v>16200</v>
      </c>
      <c r="H216" s="26" t="n">
        <v>0</v>
      </c>
      <c r="I216" s="26" t="n">
        <v>16200</v>
      </c>
      <c r="J216" s="25" t="s">
        <v>185</v>
      </c>
      <c r="K216" s="25" t="s">
        <v>359</v>
      </c>
      <c r="L216" s="25" t="s">
        <v>357</v>
      </c>
      <c r="M216" s="24" t="s">
        <v>181</v>
      </c>
      <c r="N216" s="26" t="n">
        <v>0</v>
      </c>
      <c r="O216" s="26" t="n">
        <v>300</v>
      </c>
      <c r="P216" s="26" t="n">
        <v>300</v>
      </c>
      <c r="Q216" s="25" t="s">
        <v>182</v>
      </c>
    </row>
    <row r="217" customFormat="false" ht="15" hidden="false" customHeight="false" outlineLevel="0" collapsed="false">
      <c r="A217" s="24" t="s">
        <v>8</v>
      </c>
      <c r="B217" s="25" t="s">
        <v>3</v>
      </c>
      <c r="C217" s="24" t="s">
        <v>319</v>
      </c>
      <c r="D217" s="24" t="s">
        <v>444</v>
      </c>
      <c r="E217" s="24" t="s">
        <v>358</v>
      </c>
      <c r="F217" s="25" t="s">
        <v>135</v>
      </c>
      <c r="G217" s="26" t="n">
        <v>69800</v>
      </c>
      <c r="H217" s="26" t="n">
        <v>0</v>
      </c>
      <c r="I217" s="26" t="n">
        <v>69800</v>
      </c>
      <c r="J217" s="25" t="s">
        <v>185</v>
      </c>
      <c r="K217" s="25" t="s">
        <v>357</v>
      </c>
      <c r="L217" s="25" t="s">
        <v>357</v>
      </c>
      <c r="M217" s="24" t="s">
        <v>186</v>
      </c>
      <c r="N217" s="26" t="n">
        <v>0</v>
      </c>
      <c r="O217" s="26" t="n">
        <v>1500</v>
      </c>
      <c r="P217" s="26" t="n">
        <v>1500</v>
      </c>
      <c r="Q217" s="25" t="s">
        <v>187</v>
      </c>
    </row>
    <row r="218" customFormat="false" ht="15" hidden="false" customHeight="false" outlineLevel="0" collapsed="false">
      <c r="A218" s="24" t="s">
        <v>8</v>
      </c>
      <c r="B218" s="25" t="s">
        <v>3</v>
      </c>
      <c r="C218" s="24" t="s">
        <v>319</v>
      </c>
      <c r="D218" s="24" t="s">
        <v>445</v>
      </c>
      <c r="E218" s="25" t="s">
        <v>283</v>
      </c>
      <c r="F218" s="25" t="s">
        <v>137</v>
      </c>
      <c r="G218" s="26" t="n">
        <v>29900</v>
      </c>
      <c r="H218" s="26" t="n">
        <v>0</v>
      </c>
      <c r="I218" s="26" t="n">
        <v>29900</v>
      </c>
      <c r="J218" s="25" t="s">
        <v>185</v>
      </c>
      <c r="K218" s="25" t="s">
        <v>359</v>
      </c>
      <c r="L218" s="25" t="s">
        <v>357</v>
      </c>
      <c r="M218" s="24" t="s">
        <v>181</v>
      </c>
      <c r="N218" s="26" t="n">
        <v>0</v>
      </c>
      <c r="O218" s="26" t="n">
        <v>600</v>
      </c>
      <c r="P218" s="26" t="n">
        <v>600</v>
      </c>
      <c r="Q218" s="25" t="s">
        <v>182</v>
      </c>
    </row>
    <row r="219" customFormat="false" ht="15" hidden="false" customHeight="false" outlineLevel="0" collapsed="false">
      <c r="A219" s="24" t="s">
        <v>8</v>
      </c>
      <c r="B219" s="25" t="s">
        <v>3</v>
      </c>
      <c r="C219" s="24" t="s">
        <v>319</v>
      </c>
      <c r="D219" s="24" t="s">
        <v>446</v>
      </c>
      <c r="E219" s="24" t="s">
        <v>207</v>
      </c>
      <c r="F219" s="25" t="s">
        <v>154</v>
      </c>
      <c r="G219" s="26" t="n">
        <v>9800</v>
      </c>
      <c r="H219" s="26" t="n">
        <v>0</v>
      </c>
      <c r="I219" s="26" t="n">
        <v>9800</v>
      </c>
      <c r="J219" s="25" t="s">
        <v>185</v>
      </c>
      <c r="K219" s="25" t="s">
        <v>359</v>
      </c>
      <c r="L219" s="25" t="s">
        <v>357</v>
      </c>
      <c r="M219" s="24" t="s">
        <v>181</v>
      </c>
      <c r="N219" s="26" t="n">
        <v>0</v>
      </c>
      <c r="O219" s="26" t="n">
        <v>200</v>
      </c>
      <c r="P219" s="26" t="n">
        <v>200</v>
      </c>
      <c r="Q219" s="25" t="s">
        <v>182</v>
      </c>
    </row>
    <row r="220" customFormat="false" ht="15" hidden="false" customHeight="false" outlineLevel="0" collapsed="false">
      <c r="A220" s="24" t="s">
        <v>8</v>
      </c>
      <c r="B220" s="25" t="s">
        <v>3</v>
      </c>
      <c r="C220" s="24" t="s">
        <v>319</v>
      </c>
      <c r="D220" s="24" t="s">
        <v>447</v>
      </c>
      <c r="E220" s="24" t="s">
        <v>209</v>
      </c>
      <c r="F220" s="25" t="s">
        <v>142</v>
      </c>
      <c r="G220" s="26" t="n">
        <v>42000</v>
      </c>
      <c r="H220" s="26" t="n">
        <v>0</v>
      </c>
      <c r="I220" s="26" t="n">
        <v>42000</v>
      </c>
      <c r="J220" s="25" t="s">
        <v>185</v>
      </c>
      <c r="K220" s="25" t="s">
        <v>359</v>
      </c>
      <c r="L220" s="25" t="s">
        <v>357</v>
      </c>
      <c r="M220" s="24" t="s">
        <v>181</v>
      </c>
      <c r="N220" s="26" t="n">
        <v>0</v>
      </c>
      <c r="O220" s="26" t="n">
        <v>900</v>
      </c>
      <c r="P220" s="26" t="n">
        <v>900</v>
      </c>
      <c r="Q220" s="25" t="s">
        <v>182</v>
      </c>
    </row>
    <row r="221" customFormat="false" ht="15" hidden="false" customHeight="false" outlineLevel="0" collapsed="false">
      <c r="A221" s="24" t="s">
        <v>8</v>
      </c>
      <c r="B221" s="25" t="s">
        <v>3</v>
      </c>
      <c r="C221" s="24" t="s">
        <v>319</v>
      </c>
      <c r="D221" s="24" t="s">
        <v>448</v>
      </c>
      <c r="E221" s="25" t="s">
        <v>224</v>
      </c>
      <c r="F221" s="25" t="s">
        <v>189</v>
      </c>
      <c r="G221" s="26" t="n">
        <v>10300</v>
      </c>
      <c r="H221" s="26" t="n">
        <v>0</v>
      </c>
      <c r="I221" s="26" t="n">
        <v>10300</v>
      </c>
      <c r="J221" s="25" t="s">
        <v>185</v>
      </c>
      <c r="K221" s="25" t="s">
        <v>359</v>
      </c>
      <c r="L221" s="25" t="s">
        <v>357</v>
      </c>
      <c r="M221" s="24" t="s">
        <v>181</v>
      </c>
      <c r="N221" s="26" t="n">
        <v>0</v>
      </c>
      <c r="O221" s="26" t="n">
        <v>200</v>
      </c>
      <c r="P221" s="26" t="n">
        <v>200</v>
      </c>
      <c r="Q221" s="25" t="s">
        <v>182</v>
      </c>
    </row>
    <row r="222" customFormat="false" ht="15" hidden="false" customHeight="false" outlineLevel="0" collapsed="false">
      <c r="A222" s="24" t="s">
        <v>8</v>
      </c>
      <c r="B222" s="25" t="s">
        <v>3</v>
      </c>
      <c r="C222" s="24" t="s">
        <v>319</v>
      </c>
      <c r="D222" s="24" t="s">
        <v>449</v>
      </c>
      <c r="E222" s="25" t="s">
        <v>177</v>
      </c>
      <c r="F222" s="25" t="s">
        <v>140</v>
      </c>
      <c r="G222" s="26" t="n">
        <v>14100</v>
      </c>
      <c r="H222" s="26" t="n">
        <v>0</v>
      </c>
      <c r="I222" s="26" t="n">
        <v>14100</v>
      </c>
      <c r="J222" s="25" t="s">
        <v>185</v>
      </c>
      <c r="K222" s="25" t="s">
        <v>357</v>
      </c>
      <c r="L222" s="25" t="s">
        <v>357</v>
      </c>
      <c r="M222" s="24" t="s">
        <v>186</v>
      </c>
      <c r="N222" s="26" t="n">
        <v>0</v>
      </c>
      <c r="O222" s="26" t="n">
        <v>300</v>
      </c>
      <c r="P222" s="26" t="n">
        <v>300</v>
      </c>
      <c r="Q222" s="25" t="s">
        <v>187</v>
      </c>
    </row>
    <row r="223" customFormat="false" ht="15" hidden="false" customHeight="false" outlineLevel="0" collapsed="false">
      <c r="A223" s="24" t="s">
        <v>8</v>
      </c>
      <c r="B223" s="25" t="s">
        <v>3</v>
      </c>
      <c r="C223" s="24" t="s">
        <v>319</v>
      </c>
      <c r="D223" s="24" t="s">
        <v>450</v>
      </c>
      <c r="E223" s="25" t="s">
        <v>346</v>
      </c>
      <c r="F223" s="25" t="s">
        <v>143</v>
      </c>
      <c r="G223" s="26" t="n">
        <v>16100</v>
      </c>
      <c r="H223" s="26" t="n">
        <v>0</v>
      </c>
      <c r="I223" s="26" t="n">
        <v>16100</v>
      </c>
      <c r="J223" s="25" t="s">
        <v>185</v>
      </c>
      <c r="K223" s="25" t="s">
        <v>357</v>
      </c>
      <c r="L223" s="25" t="s">
        <v>357</v>
      </c>
      <c r="M223" s="24" t="s">
        <v>186</v>
      </c>
      <c r="N223" s="26" t="n">
        <v>0</v>
      </c>
      <c r="O223" s="26" t="n">
        <v>300</v>
      </c>
      <c r="P223" s="26" t="n">
        <v>300</v>
      </c>
      <c r="Q223" s="25" t="s">
        <v>187</v>
      </c>
    </row>
    <row r="224" customFormat="false" ht="15" hidden="false" customHeight="false" outlineLevel="0" collapsed="false">
      <c r="A224" s="24" t="s">
        <v>8</v>
      </c>
      <c r="B224" s="25" t="s">
        <v>3</v>
      </c>
      <c r="C224" s="24" t="s">
        <v>319</v>
      </c>
      <c r="D224" s="24" t="s">
        <v>451</v>
      </c>
      <c r="E224" s="25" t="s">
        <v>250</v>
      </c>
      <c r="F224" s="25" t="s">
        <v>251</v>
      </c>
      <c r="G224" s="26" t="n">
        <v>167600</v>
      </c>
      <c r="H224" s="26" t="n">
        <v>12000</v>
      </c>
      <c r="I224" s="26" t="n">
        <v>155600</v>
      </c>
      <c r="J224" s="25" t="s">
        <v>185</v>
      </c>
      <c r="K224" s="25" t="s">
        <v>357</v>
      </c>
      <c r="L224" s="25" t="s">
        <v>357</v>
      </c>
      <c r="M224" s="24" t="s">
        <v>193</v>
      </c>
      <c r="N224" s="26" t="n">
        <v>12000</v>
      </c>
      <c r="O224" s="26" t="n">
        <v>12000</v>
      </c>
      <c r="P224" s="26" t="n">
        <v>0</v>
      </c>
      <c r="Q224" s="24"/>
    </row>
    <row r="225" customFormat="false" ht="15" hidden="false" customHeight="false" outlineLevel="0" collapsed="false">
      <c r="A225" s="24" t="s">
        <v>8</v>
      </c>
      <c r="B225" s="25" t="s">
        <v>3</v>
      </c>
      <c r="C225" s="24" t="s">
        <v>319</v>
      </c>
      <c r="D225" s="24" t="s">
        <v>452</v>
      </c>
      <c r="E225" s="25" t="s">
        <v>192</v>
      </c>
      <c r="F225" s="25" t="s">
        <v>147</v>
      </c>
      <c r="G225" s="26" t="n">
        <v>9000</v>
      </c>
      <c r="H225" s="26" t="n">
        <v>0</v>
      </c>
      <c r="I225" s="26" t="n">
        <v>9000</v>
      </c>
      <c r="J225" s="25" t="s">
        <v>185</v>
      </c>
      <c r="K225" s="25" t="s">
        <v>357</v>
      </c>
      <c r="L225" s="25" t="s">
        <v>357</v>
      </c>
      <c r="M225" s="24" t="s">
        <v>186</v>
      </c>
      <c r="N225" s="26" t="n">
        <v>0</v>
      </c>
      <c r="O225" s="26" t="n">
        <v>200</v>
      </c>
      <c r="P225" s="26" t="n">
        <v>200</v>
      </c>
      <c r="Q225" s="25" t="s">
        <v>187</v>
      </c>
    </row>
    <row r="226" customFormat="false" ht="15" hidden="false" customHeight="false" outlineLevel="0" collapsed="false">
      <c r="A226" s="24" t="s">
        <v>8</v>
      </c>
      <c r="B226" s="25" t="s">
        <v>3</v>
      </c>
      <c r="C226" s="24" t="s">
        <v>319</v>
      </c>
      <c r="D226" s="24" t="s">
        <v>453</v>
      </c>
      <c r="E226" s="25" t="s">
        <v>206</v>
      </c>
      <c r="F226" s="25" t="s">
        <v>137</v>
      </c>
      <c r="G226" s="26" t="n">
        <v>14800</v>
      </c>
      <c r="H226" s="26" t="n">
        <v>0</v>
      </c>
      <c r="I226" s="26" t="n">
        <v>14800</v>
      </c>
      <c r="J226" s="25" t="s">
        <v>185</v>
      </c>
      <c r="K226" s="25" t="s">
        <v>357</v>
      </c>
      <c r="L226" s="25" t="s">
        <v>357</v>
      </c>
      <c r="M226" s="24" t="s">
        <v>186</v>
      </c>
      <c r="N226" s="26" t="n">
        <v>0</v>
      </c>
      <c r="O226" s="26" t="n">
        <v>300</v>
      </c>
      <c r="P226" s="26" t="n">
        <v>300</v>
      </c>
      <c r="Q226" s="25" t="s">
        <v>187</v>
      </c>
    </row>
    <row r="227" customFormat="false" ht="15" hidden="false" customHeight="false" outlineLevel="0" collapsed="false">
      <c r="A227" s="24" t="s">
        <v>8</v>
      </c>
      <c r="B227" s="25" t="s">
        <v>3</v>
      </c>
      <c r="C227" s="24" t="s">
        <v>319</v>
      </c>
      <c r="D227" s="24" t="s">
        <v>454</v>
      </c>
      <c r="E227" s="25" t="s">
        <v>258</v>
      </c>
      <c r="F227" s="25" t="s">
        <v>147</v>
      </c>
      <c r="G227" s="26" t="n">
        <v>15100</v>
      </c>
      <c r="H227" s="26" t="n">
        <v>0</v>
      </c>
      <c r="I227" s="26" t="n">
        <v>15100</v>
      </c>
      <c r="J227" s="25" t="s">
        <v>185</v>
      </c>
      <c r="K227" s="25" t="s">
        <v>359</v>
      </c>
      <c r="L227" s="25" t="s">
        <v>357</v>
      </c>
      <c r="M227" s="24" t="s">
        <v>181</v>
      </c>
      <c r="N227" s="26" t="n">
        <v>0</v>
      </c>
      <c r="O227" s="26" t="n">
        <v>300</v>
      </c>
      <c r="P227" s="26" t="n">
        <v>300</v>
      </c>
      <c r="Q227" s="25" t="s">
        <v>182</v>
      </c>
    </row>
    <row r="228" customFormat="false" ht="15" hidden="false" customHeight="false" outlineLevel="0" collapsed="false">
      <c r="A228" s="24" t="s">
        <v>8</v>
      </c>
      <c r="B228" s="25" t="s">
        <v>3</v>
      </c>
      <c r="C228" s="24" t="s">
        <v>319</v>
      </c>
      <c r="D228" s="24" t="s">
        <v>455</v>
      </c>
      <c r="E228" s="24" t="s">
        <v>275</v>
      </c>
      <c r="F228" s="25" t="s">
        <v>154</v>
      </c>
      <c r="G228" s="26" t="n">
        <v>3700</v>
      </c>
      <c r="H228" s="26" t="n">
        <v>0</v>
      </c>
      <c r="I228" s="26" t="n">
        <v>3700</v>
      </c>
      <c r="J228" s="25" t="s">
        <v>185</v>
      </c>
      <c r="K228" s="25" t="s">
        <v>357</v>
      </c>
      <c r="L228" s="25" t="s">
        <v>357</v>
      </c>
      <c r="M228" s="24" t="s">
        <v>186</v>
      </c>
      <c r="N228" s="26" t="n">
        <v>0</v>
      </c>
      <c r="O228" s="26" t="n">
        <v>100</v>
      </c>
      <c r="P228" s="26" t="n">
        <v>100</v>
      </c>
      <c r="Q228" s="25" t="s">
        <v>187</v>
      </c>
    </row>
    <row r="229" customFormat="false" ht="15" hidden="false" customHeight="false" outlineLevel="0" collapsed="false">
      <c r="A229" s="24" t="s">
        <v>9</v>
      </c>
      <c r="B229" s="25" t="s">
        <v>4</v>
      </c>
      <c r="C229" s="24" t="s">
        <v>175</v>
      </c>
      <c r="D229" s="24" t="s">
        <v>176</v>
      </c>
      <c r="E229" s="25" t="s">
        <v>206</v>
      </c>
      <c r="F229" s="25" t="s">
        <v>137</v>
      </c>
      <c r="G229" s="26" t="n">
        <v>37200</v>
      </c>
      <c r="H229" s="26" t="n">
        <v>0</v>
      </c>
      <c r="I229" s="26" t="n">
        <v>37200</v>
      </c>
      <c r="J229" s="25" t="s">
        <v>178</v>
      </c>
      <c r="K229" s="25" t="s">
        <v>179</v>
      </c>
      <c r="L229" s="25" t="s">
        <v>179</v>
      </c>
      <c r="M229" s="24" t="s">
        <v>186</v>
      </c>
      <c r="N229" s="26" t="n">
        <v>0</v>
      </c>
      <c r="O229" s="26" t="n">
        <v>800</v>
      </c>
      <c r="P229" s="26" t="n">
        <v>800</v>
      </c>
      <c r="Q229" s="25" t="s">
        <v>187</v>
      </c>
    </row>
    <row r="230" customFormat="false" ht="15" hidden="false" customHeight="false" outlineLevel="0" collapsed="false">
      <c r="A230" s="24" t="s">
        <v>9</v>
      </c>
      <c r="B230" s="25" t="s">
        <v>4</v>
      </c>
      <c r="C230" s="24" t="s">
        <v>175</v>
      </c>
      <c r="D230" s="24" t="s">
        <v>176</v>
      </c>
      <c r="E230" s="24" t="s">
        <v>209</v>
      </c>
      <c r="F230" s="25" t="s">
        <v>142</v>
      </c>
      <c r="G230" s="26" t="n">
        <v>72300</v>
      </c>
      <c r="H230" s="26" t="n">
        <v>6600</v>
      </c>
      <c r="I230" s="26" t="n">
        <v>65700</v>
      </c>
      <c r="J230" s="25" t="s">
        <v>185</v>
      </c>
      <c r="K230" s="25" t="s">
        <v>456</v>
      </c>
      <c r="L230" s="25" t="s">
        <v>456</v>
      </c>
      <c r="M230" s="24" t="s">
        <v>193</v>
      </c>
      <c r="N230" s="26" t="n">
        <v>6600</v>
      </c>
      <c r="O230" s="26" t="n">
        <v>6600</v>
      </c>
      <c r="P230" s="26" t="n">
        <v>0</v>
      </c>
      <c r="Q230" s="24"/>
    </row>
    <row r="231" customFormat="false" ht="15" hidden="false" customHeight="false" outlineLevel="0" collapsed="false">
      <c r="A231" s="24" t="s">
        <v>9</v>
      </c>
      <c r="B231" s="25" t="s">
        <v>4</v>
      </c>
      <c r="C231" s="24" t="s">
        <v>175</v>
      </c>
      <c r="D231" s="24" t="s">
        <v>176</v>
      </c>
      <c r="E231" s="25" t="s">
        <v>48</v>
      </c>
      <c r="F231" s="25" t="s">
        <v>218</v>
      </c>
      <c r="G231" s="26" t="n">
        <v>290300</v>
      </c>
      <c r="H231" s="26" t="n">
        <v>0</v>
      </c>
      <c r="I231" s="26" t="n">
        <v>290300</v>
      </c>
      <c r="J231" s="25" t="s">
        <v>185</v>
      </c>
      <c r="K231" s="25" t="s">
        <v>457</v>
      </c>
      <c r="L231" s="25" t="s">
        <v>456</v>
      </c>
      <c r="M231" s="24" t="s">
        <v>181</v>
      </c>
      <c r="N231" s="26" t="n">
        <v>0</v>
      </c>
      <c r="O231" s="26" t="n">
        <v>6400</v>
      </c>
      <c r="P231" s="26" t="n">
        <v>6400</v>
      </c>
      <c r="Q231" s="25" t="s">
        <v>182</v>
      </c>
    </row>
    <row r="232" customFormat="false" ht="15" hidden="false" customHeight="false" outlineLevel="0" collapsed="false">
      <c r="A232" s="24" t="s">
        <v>9</v>
      </c>
      <c r="B232" s="25" t="s">
        <v>4</v>
      </c>
      <c r="C232" s="24" t="s">
        <v>175</v>
      </c>
      <c r="D232" s="24" t="s">
        <v>191</v>
      </c>
      <c r="E232" s="25" t="s">
        <v>195</v>
      </c>
      <c r="F232" s="25" t="s">
        <v>144</v>
      </c>
      <c r="G232" s="26" t="n">
        <v>29200</v>
      </c>
      <c r="H232" s="26" t="n">
        <v>0</v>
      </c>
      <c r="I232" s="26" t="n">
        <v>29200</v>
      </c>
      <c r="J232" s="25" t="s">
        <v>178</v>
      </c>
      <c r="K232" s="25" t="s">
        <v>179</v>
      </c>
      <c r="L232" s="25" t="s">
        <v>179</v>
      </c>
      <c r="M232" s="24" t="s">
        <v>186</v>
      </c>
      <c r="N232" s="26" t="n">
        <v>0</v>
      </c>
      <c r="O232" s="26" t="n">
        <v>600</v>
      </c>
      <c r="P232" s="26" t="n">
        <v>600</v>
      </c>
      <c r="Q232" s="25" t="s">
        <v>187</v>
      </c>
    </row>
    <row r="233" customFormat="false" ht="15" hidden="false" customHeight="false" outlineLevel="0" collapsed="false">
      <c r="A233" s="24" t="s">
        <v>9</v>
      </c>
      <c r="B233" s="25" t="s">
        <v>4</v>
      </c>
      <c r="C233" s="24" t="s">
        <v>175</v>
      </c>
      <c r="D233" s="24" t="s">
        <v>191</v>
      </c>
      <c r="E233" s="25" t="s">
        <v>214</v>
      </c>
      <c r="F233" s="25" t="s">
        <v>138</v>
      </c>
      <c r="G233" s="26" t="n">
        <v>56800</v>
      </c>
      <c r="H233" s="26" t="n">
        <v>0</v>
      </c>
      <c r="I233" s="26" t="n">
        <v>56800</v>
      </c>
      <c r="J233" s="25" t="s">
        <v>185</v>
      </c>
      <c r="K233" s="25" t="s">
        <v>456</v>
      </c>
      <c r="L233" s="25" t="s">
        <v>456</v>
      </c>
      <c r="M233" s="24" t="s">
        <v>186</v>
      </c>
      <c r="N233" s="26" t="n">
        <v>0</v>
      </c>
      <c r="O233" s="26" t="n">
        <v>1300</v>
      </c>
      <c r="P233" s="26" t="n">
        <v>1300</v>
      </c>
      <c r="Q233" s="25" t="s">
        <v>187</v>
      </c>
    </row>
    <row r="234" customFormat="false" ht="15" hidden="false" customHeight="false" outlineLevel="0" collapsed="false">
      <c r="A234" s="24" t="s">
        <v>9</v>
      </c>
      <c r="B234" s="25" t="s">
        <v>4</v>
      </c>
      <c r="C234" s="24" t="s">
        <v>175</v>
      </c>
      <c r="D234" s="24" t="s">
        <v>191</v>
      </c>
      <c r="E234" s="25" t="s">
        <v>272</v>
      </c>
      <c r="F234" s="25" t="s">
        <v>218</v>
      </c>
      <c r="G234" s="26" t="n">
        <v>228000</v>
      </c>
      <c r="H234" s="26" t="n">
        <v>0</v>
      </c>
      <c r="I234" s="26" t="n">
        <v>228000</v>
      </c>
      <c r="J234" s="25" t="s">
        <v>185</v>
      </c>
      <c r="K234" s="25" t="s">
        <v>457</v>
      </c>
      <c r="L234" s="25" t="s">
        <v>456</v>
      </c>
      <c r="M234" s="24" t="s">
        <v>181</v>
      </c>
      <c r="N234" s="26" t="n">
        <v>0</v>
      </c>
      <c r="O234" s="26" t="n">
        <v>5100</v>
      </c>
      <c r="P234" s="26" t="n">
        <v>5100</v>
      </c>
      <c r="Q234" s="25" t="s">
        <v>182</v>
      </c>
    </row>
    <row r="235" customFormat="false" ht="15" hidden="false" customHeight="false" outlineLevel="0" collapsed="false">
      <c r="A235" s="24" t="s">
        <v>9</v>
      </c>
      <c r="B235" s="25" t="s">
        <v>4</v>
      </c>
      <c r="C235" s="24" t="s">
        <v>175</v>
      </c>
      <c r="D235" s="24" t="s">
        <v>198</v>
      </c>
      <c r="E235" s="25" t="s">
        <v>192</v>
      </c>
      <c r="F235" s="25" t="s">
        <v>147</v>
      </c>
      <c r="G235" s="26" t="n">
        <v>42500</v>
      </c>
      <c r="H235" s="26" t="n">
        <v>0</v>
      </c>
      <c r="I235" s="26" t="n">
        <v>42500</v>
      </c>
      <c r="J235" s="25" t="s">
        <v>178</v>
      </c>
      <c r="K235" s="25" t="s">
        <v>179</v>
      </c>
      <c r="L235" s="25" t="s">
        <v>179</v>
      </c>
      <c r="M235" s="24" t="s">
        <v>186</v>
      </c>
      <c r="N235" s="26" t="n">
        <v>0</v>
      </c>
      <c r="O235" s="26" t="n">
        <v>900</v>
      </c>
      <c r="P235" s="26" t="n">
        <v>900</v>
      </c>
      <c r="Q235" s="25" t="s">
        <v>187</v>
      </c>
    </row>
    <row r="236" customFormat="false" ht="15" hidden="false" customHeight="false" outlineLevel="0" collapsed="false">
      <c r="A236" s="24" t="s">
        <v>9</v>
      </c>
      <c r="B236" s="25" t="s">
        <v>4</v>
      </c>
      <c r="C236" s="24" t="s">
        <v>175</v>
      </c>
      <c r="D236" s="24" t="s">
        <v>198</v>
      </c>
      <c r="E236" s="25" t="s">
        <v>315</v>
      </c>
      <c r="F236" s="25" t="s">
        <v>218</v>
      </c>
      <c r="G236" s="26" t="n">
        <v>82600</v>
      </c>
      <c r="H236" s="26" t="n">
        <v>0</v>
      </c>
      <c r="I236" s="26" t="n">
        <v>82600</v>
      </c>
      <c r="J236" s="25" t="s">
        <v>185</v>
      </c>
      <c r="K236" s="25" t="s">
        <v>456</v>
      </c>
      <c r="L236" s="25" t="s">
        <v>456</v>
      </c>
      <c r="M236" s="24" t="s">
        <v>186</v>
      </c>
      <c r="N236" s="26" t="n">
        <v>0</v>
      </c>
      <c r="O236" s="26" t="n">
        <v>1800</v>
      </c>
      <c r="P236" s="26" t="n">
        <v>1800</v>
      </c>
      <c r="Q236" s="25" t="s">
        <v>187</v>
      </c>
    </row>
    <row r="237" customFormat="false" ht="15" hidden="false" customHeight="false" outlineLevel="0" collapsed="false">
      <c r="A237" s="24" t="s">
        <v>9</v>
      </c>
      <c r="B237" s="25" t="s">
        <v>4</v>
      </c>
      <c r="C237" s="24" t="s">
        <v>175</v>
      </c>
      <c r="D237" s="24" t="s">
        <v>198</v>
      </c>
      <c r="E237" s="25" t="s">
        <v>201</v>
      </c>
      <c r="F237" s="25" t="s">
        <v>134</v>
      </c>
      <c r="G237" s="26" t="n">
        <v>331600</v>
      </c>
      <c r="H237" s="26" t="n">
        <v>30500</v>
      </c>
      <c r="I237" s="26" t="n">
        <v>301100</v>
      </c>
      <c r="J237" s="25" t="s">
        <v>185</v>
      </c>
      <c r="K237" s="25" t="s">
        <v>457</v>
      </c>
      <c r="L237" s="25" t="s">
        <v>457</v>
      </c>
      <c r="M237" s="24" t="s">
        <v>193</v>
      </c>
      <c r="N237" s="26" t="n">
        <v>30500</v>
      </c>
      <c r="O237" s="26" t="n">
        <v>30500</v>
      </c>
      <c r="P237" s="26" t="n">
        <v>0</v>
      </c>
      <c r="Q237" s="24"/>
    </row>
    <row r="238" customFormat="false" ht="15" hidden="false" customHeight="false" outlineLevel="0" collapsed="false">
      <c r="A238" s="24" t="s">
        <v>9</v>
      </c>
      <c r="B238" s="25" t="s">
        <v>4</v>
      </c>
      <c r="C238" s="24" t="s">
        <v>175</v>
      </c>
      <c r="D238" s="24" t="s">
        <v>203</v>
      </c>
      <c r="E238" s="25" t="s">
        <v>188</v>
      </c>
      <c r="F238" s="25" t="s">
        <v>189</v>
      </c>
      <c r="G238" s="26" t="n">
        <v>23900</v>
      </c>
      <c r="H238" s="26" t="n">
        <v>0</v>
      </c>
      <c r="I238" s="26" t="n">
        <v>23900</v>
      </c>
      <c r="J238" s="25" t="s">
        <v>178</v>
      </c>
      <c r="K238" s="25" t="s">
        <v>179</v>
      </c>
      <c r="L238" s="25" t="s">
        <v>179</v>
      </c>
      <c r="M238" s="24" t="s">
        <v>186</v>
      </c>
      <c r="N238" s="26" t="n">
        <v>0</v>
      </c>
      <c r="O238" s="26" t="n">
        <v>500</v>
      </c>
      <c r="P238" s="26" t="n">
        <v>500</v>
      </c>
      <c r="Q238" s="25" t="s">
        <v>187</v>
      </c>
    </row>
    <row r="239" customFormat="false" ht="15" hidden="false" customHeight="false" outlineLevel="0" collapsed="false">
      <c r="A239" s="24" t="s">
        <v>9</v>
      </c>
      <c r="B239" s="25" t="s">
        <v>4</v>
      </c>
      <c r="C239" s="24" t="s">
        <v>175</v>
      </c>
      <c r="D239" s="24" t="s">
        <v>203</v>
      </c>
      <c r="E239" s="25" t="s">
        <v>194</v>
      </c>
      <c r="F239" s="25" t="s">
        <v>145</v>
      </c>
      <c r="G239" s="26" t="n">
        <v>46500</v>
      </c>
      <c r="H239" s="26" t="n">
        <v>0</v>
      </c>
      <c r="I239" s="26" t="n">
        <v>46500</v>
      </c>
      <c r="J239" s="25" t="s">
        <v>185</v>
      </c>
      <c r="K239" s="25" t="s">
        <v>456</v>
      </c>
      <c r="L239" s="25" t="s">
        <v>456</v>
      </c>
      <c r="M239" s="24" t="s">
        <v>186</v>
      </c>
      <c r="N239" s="26" t="n">
        <v>0</v>
      </c>
      <c r="O239" s="26" t="n">
        <v>1000</v>
      </c>
      <c r="P239" s="26" t="n">
        <v>1000</v>
      </c>
      <c r="Q239" s="25" t="s">
        <v>187</v>
      </c>
    </row>
    <row r="240" customFormat="false" ht="15" hidden="false" customHeight="false" outlineLevel="0" collapsed="false">
      <c r="A240" s="24" t="s">
        <v>9</v>
      </c>
      <c r="B240" s="25" t="s">
        <v>4</v>
      </c>
      <c r="C240" s="24" t="s">
        <v>175</v>
      </c>
      <c r="D240" s="24" t="s">
        <v>203</v>
      </c>
      <c r="E240" s="25" t="s">
        <v>458</v>
      </c>
      <c r="F240" s="25" t="s">
        <v>143</v>
      </c>
      <c r="G240" s="26" t="n">
        <v>186600</v>
      </c>
      <c r="H240" s="26" t="n">
        <v>0</v>
      </c>
      <c r="I240" s="26" t="n">
        <v>186600</v>
      </c>
      <c r="J240" s="25" t="s">
        <v>185</v>
      </c>
      <c r="K240" s="25" t="s">
        <v>457</v>
      </c>
      <c r="L240" s="25" t="s">
        <v>456</v>
      </c>
      <c r="M240" s="24" t="s">
        <v>181</v>
      </c>
      <c r="N240" s="26" t="n">
        <v>0</v>
      </c>
      <c r="O240" s="26" t="n">
        <v>4100</v>
      </c>
      <c r="P240" s="26" t="n">
        <v>4100</v>
      </c>
      <c r="Q240" s="25" t="s">
        <v>182</v>
      </c>
    </row>
    <row r="241" customFormat="false" ht="15" hidden="false" customHeight="false" outlineLevel="0" collapsed="false">
      <c r="A241" s="24" t="s">
        <v>9</v>
      </c>
      <c r="B241" s="25" t="s">
        <v>4</v>
      </c>
      <c r="C241" s="24" t="s">
        <v>175</v>
      </c>
      <c r="D241" s="24" t="s">
        <v>208</v>
      </c>
      <c r="E241" s="25" t="s">
        <v>211</v>
      </c>
      <c r="F241" s="25" t="s">
        <v>212</v>
      </c>
      <c r="G241" s="26" t="n">
        <v>34600</v>
      </c>
      <c r="H241" s="26" t="n">
        <v>0</v>
      </c>
      <c r="I241" s="26" t="n">
        <v>34600</v>
      </c>
      <c r="J241" s="25" t="s">
        <v>178</v>
      </c>
      <c r="K241" s="25" t="s">
        <v>179</v>
      </c>
      <c r="L241" s="25" t="s">
        <v>179</v>
      </c>
      <c r="M241" s="24" t="s">
        <v>186</v>
      </c>
      <c r="N241" s="26" t="n">
        <v>0</v>
      </c>
      <c r="O241" s="26" t="n">
        <v>800</v>
      </c>
      <c r="P241" s="26" t="n">
        <v>800</v>
      </c>
      <c r="Q241" s="25" t="s">
        <v>187</v>
      </c>
    </row>
    <row r="242" customFormat="false" ht="15" hidden="false" customHeight="false" outlineLevel="0" collapsed="false">
      <c r="A242" s="24" t="s">
        <v>9</v>
      </c>
      <c r="B242" s="25" t="s">
        <v>4</v>
      </c>
      <c r="C242" s="24" t="s">
        <v>175</v>
      </c>
      <c r="D242" s="24" t="s">
        <v>208</v>
      </c>
      <c r="E242" s="24" t="s">
        <v>358</v>
      </c>
      <c r="F242" s="25" t="s">
        <v>135</v>
      </c>
      <c r="G242" s="26" t="n">
        <v>67100</v>
      </c>
      <c r="H242" s="26" t="n">
        <v>0</v>
      </c>
      <c r="I242" s="26" t="n">
        <v>67100</v>
      </c>
      <c r="J242" s="25" t="s">
        <v>185</v>
      </c>
      <c r="K242" s="25" t="s">
        <v>456</v>
      </c>
      <c r="L242" s="25" t="s">
        <v>456</v>
      </c>
      <c r="M242" s="24" t="s">
        <v>186</v>
      </c>
      <c r="N242" s="26" t="n">
        <v>0</v>
      </c>
      <c r="O242" s="26" t="n">
        <v>1500</v>
      </c>
      <c r="P242" s="26" t="n">
        <v>1500</v>
      </c>
      <c r="Q242" s="25" t="s">
        <v>187</v>
      </c>
    </row>
    <row r="243" customFormat="false" ht="15" hidden="false" customHeight="false" outlineLevel="0" collapsed="false">
      <c r="A243" s="24" t="s">
        <v>9</v>
      </c>
      <c r="B243" s="25" t="s">
        <v>4</v>
      </c>
      <c r="C243" s="24" t="s">
        <v>175</v>
      </c>
      <c r="D243" s="24" t="s">
        <v>208</v>
      </c>
      <c r="E243" s="25" t="s">
        <v>459</v>
      </c>
      <c r="F243" s="25" t="s">
        <v>134</v>
      </c>
      <c r="G243" s="26" t="n">
        <v>269500</v>
      </c>
      <c r="H243" s="26" t="n">
        <v>0</v>
      </c>
      <c r="I243" s="26" t="n">
        <v>269500</v>
      </c>
      <c r="J243" s="25" t="s">
        <v>185</v>
      </c>
      <c r="K243" s="25" t="s">
        <v>457</v>
      </c>
      <c r="L243" s="25" t="s">
        <v>457</v>
      </c>
      <c r="M243" s="24" t="s">
        <v>186</v>
      </c>
      <c r="N243" s="26" t="n">
        <v>0</v>
      </c>
      <c r="O243" s="26" t="n">
        <v>6000</v>
      </c>
      <c r="P243" s="26" t="n">
        <v>6000</v>
      </c>
      <c r="Q243" s="25" t="s">
        <v>187</v>
      </c>
    </row>
    <row r="244" customFormat="false" ht="15" hidden="false" customHeight="false" outlineLevel="0" collapsed="false">
      <c r="A244" s="24" t="s">
        <v>9</v>
      </c>
      <c r="B244" s="25" t="s">
        <v>4</v>
      </c>
      <c r="C244" s="24" t="s">
        <v>175</v>
      </c>
      <c r="D244" s="24" t="s">
        <v>213</v>
      </c>
      <c r="E244" s="25" t="s">
        <v>219</v>
      </c>
      <c r="F244" s="25" t="s">
        <v>137</v>
      </c>
      <c r="G244" s="26" t="n">
        <v>31900</v>
      </c>
      <c r="H244" s="26" t="n">
        <v>0</v>
      </c>
      <c r="I244" s="26" t="n">
        <v>31900</v>
      </c>
      <c r="J244" s="25" t="s">
        <v>178</v>
      </c>
      <c r="K244" s="25" t="s">
        <v>179</v>
      </c>
      <c r="L244" s="25" t="s">
        <v>179</v>
      </c>
      <c r="M244" s="24" t="s">
        <v>186</v>
      </c>
      <c r="N244" s="26" t="n">
        <v>0</v>
      </c>
      <c r="O244" s="26" t="n">
        <v>700</v>
      </c>
      <c r="P244" s="26" t="n">
        <v>700</v>
      </c>
      <c r="Q244" s="25" t="s">
        <v>187</v>
      </c>
    </row>
    <row r="245" customFormat="false" ht="15" hidden="false" customHeight="false" outlineLevel="0" collapsed="false">
      <c r="A245" s="24" t="s">
        <v>9</v>
      </c>
      <c r="B245" s="25" t="s">
        <v>4</v>
      </c>
      <c r="C245" s="24" t="s">
        <v>175</v>
      </c>
      <c r="D245" s="24" t="s">
        <v>213</v>
      </c>
      <c r="E245" s="25" t="s">
        <v>255</v>
      </c>
      <c r="F245" s="25" t="s">
        <v>156</v>
      </c>
      <c r="G245" s="26" t="n">
        <v>62000</v>
      </c>
      <c r="H245" s="26" t="n">
        <v>0</v>
      </c>
      <c r="I245" s="26" t="n">
        <v>62000</v>
      </c>
      <c r="J245" s="25" t="s">
        <v>185</v>
      </c>
      <c r="K245" s="25" t="s">
        <v>456</v>
      </c>
      <c r="L245" s="25" t="s">
        <v>456</v>
      </c>
      <c r="M245" s="24" t="s">
        <v>186</v>
      </c>
      <c r="N245" s="26" t="n">
        <v>0</v>
      </c>
      <c r="O245" s="26" t="n">
        <v>1400</v>
      </c>
      <c r="P245" s="26" t="n">
        <v>1400</v>
      </c>
      <c r="Q245" s="25" t="s">
        <v>187</v>
      </c>
    </row>
    <row r="246" customFormat="false" ht="15" hidden="false" customHeight="false" outlineLevel="0" collapsed="false">
      <c r="A246" s="24" t="s">
        <v>9</v>
      </c>
      <c r="B246" s="25" t="s">
        <v>4</v>
      </c>
      <c r="C246" s="24" t="s">
        <v>175</v>
      </c>
      <c r="D246" s="24" t="s">
        <v>213</v>
      </c>
      <c r="E246" s="25" t="s">
        <v>460</v>
      </c>
      <c r="F246" s="25" t="s">
        <v>184</v>
      </c>
      <c r="G246" s="26" t="n">
        <v>248800</v>
      </c>
      <c r="H246" s="26" t="n">
        <v>0</v>
      </c>
      <c r="I246" s="26" t="n">
        <v>248800</v>
      </c>
      <c r="J246" s="25" t="s">
        <v>185</v>
      </c>
      <c r="K246" s="25" t="s">
        <v>457</v>
      </c>
      <c r="L246" s="25" t="s">
        <v>457</v>
      </c>
      <c r="M246" s="24" t="s">
        <v>186</v>
      </c>
      <c r="N246" s="26" t="n">
        <v>0</v>
      </c>
      <c r="O246" s="26" t="n">
        <v>5500</v>
      </c>
      <c r="P246" s="26" t="n">
        <v>5500</v>
      </c>
      <c r="Q246" s="25" t="s">
        <v>187</v>
      </c>
    </row>
    <row r="247" customFormat="false" ht="15" hidden="false" customHeight="false" outlineLevel="0" collapsed="false">
      <c r="A247" s="24" t="s">
        <v>9</v>
      </c>
      <c r="B247" s="25" t="s">
        <v>4</v>
      </c>
      <c r="C247" s="24" t="s">
        <v>175</v>
      </c>
      <c r="D247" s="24" t="s">
        <v>217</v>
      </c>
      <c r="E247" s="24" t="s">
        <v>207</v>
      </c>
      <c r="F247" s="25" t="s">
        <v>154</v>
      </c>
      <c r="G247" s="26" t="n">
        <v>39900</v>
      </c>
      <c r="H247" s="26" t="n">
        <v>0</v>
      </c>
      <c r="I247" s="26" t="n">
        <v>39900</v>
      </c>
      <c r="J247" s="25" t="s">
        <v>178</v>
      </c>
      <c r="K247" s="25" t="s">
        <v>179</v>
      </c>
      <c r="L247" s="25" t="s">
        <v>179</v>
      </c>
      <c r="M247" s="24" t="s">
        <v>186</v>
      </c>
      <c r="N247" s="26" t="n">
        <v>0</v>
      </c>
      <c r="O247" s="26" t="n">
        <v>900</v>
      </c>
      <c r="P247" s="26" t="n">
        <v>900</v>
      </c>
      <c r="Q247" s="25" t="s">
        <v>187</v>
      </c>
    </row>
    <row r="248" customFormat="false" ht="15" hidden="false" customHeight="false" outlineLevel="0" collapsed="false">
      <c r="A248" s="24" t="s">
        <v>9</v>
      </c>
      <c r="B248" s="25" t="s">
        <v>4</v>
      </c>
      <c r="C248" s="24" t="s">
        <v>175</v>
      </c>
      <c r="D248" s="24" t="s">
        <v>217</v>
      </c>
      <c r="E248" s="24" t="s">
        <v>361</v>
      </c>
      <c r="F248" s="25" t="s">
        <v>135</v>
      </c>
      <c r="G248" s="26" t="n">
        <v>77500</v>
      </c>
      <c r="H248" s="26" t="n">
        <v>0</v>
      </c>
      <c r="I248" s="26" t="n">
        <v>77500</v>
      </c>
      <c r="J248" s="25" t="s">
        <v>185</v>
      </c>
      <c r="K248" s="25" t="s">
        <v>456</v>
      </c>
      <c r="L248" s="25" t="s">
        <v>456</v>
      </c>
      <c r="M248" s="24" t="s">
        <v>186</v>
      </c>
      <c r="N248" s="26" t="n">
        <v>0</v>
      </c>
      <c r="O248" s="26" t="n">
        <v>1700</v>
      </c>
      <c r="P248" s="26" t="n">
        <v>1700</v>
      </c>
      <c r="Q248" s="25" t="s">
        <v>187</v>
      </c>
    </row>
    <row r="249" customFormat="false" ht="15" hidden="false" customHeight="false" outlineLevel="0" collapsed="false">
      <c r="A249" s="24" t="s">
        <v>9</v>
      </c>
      <c r="B249" s="25" t="s">
        <v>4</v>
      </c>
      <c r="C249" s="24" t="s">
        <v>175</v>
      </c>
      <c r="D249" s="24" t="s">
        <v>217</v>
      </c>
      <c r="E249" s="25" t="s">
        <v>461</v>
      </c>
      <c r="F249" s="25" t="s">
        <v>184</v>
      </c>
      <c r="G249" s="26" t="n">
        <v>311000</v>
      </c>
      <c r="H249" s="26" t="n">
        <v>0</v>
      </c>
      <c r="I249" s="26" t="n">
        <v>311000</v>
      </c>
      <c r="J249" s="25" t="s">
        <v>185</v>
      </c>
      <c r="K249" s="25" t="s">
        <v>457</v>
      </c>
      <c r="L249" s="25" t="s">
        <v>456</v>
      </c>
      <c r="M249" s="24" t="s">
        <v>181</v>
      </c>
      <c r="N249" s="26" t="n">
        <v>0</v>
      </c>
      <c r="O249" s="26" t="n">
        <v>7000</v>
      </c>
      <c r="P249" s="26" t="n">
        <v>7000</v>
      </c>
      <c r="Q249" s="25" t="s">
        <v>182</v>
      </c>
    </row>
    <row r="250" customFormat="false" ht="15" hidden="false" customHeight="false" outlineLevel="0" collapsed="false">
      <c r="A250" s="24" t="s">
        <v>9</v>
      </c>
      <c r="B250" s="25" t="s">
        <v>4</v>
      </c>
      <c r="C250" s="24" t="s">
        <v>175</v>
      </c>
      <c r="D250" s="24" t="s">
        <v>221</v>
      </c>
      <c r="E250" s="25" t="s">
        <v>202</v>
      </c>
      <c r="F250" s="25" t="s">
        <v>144</v>
      </c>
      <c r="G250" s="26" t="n">
        <v>26600</v>
      </c>
      <c r="H250" s="26" t="n">
        <v>0</v>
      </c>
      <c r="I250" s="26" t="n">
        <v>26600</v>
      </c>
      <c r="J250" s="25" t="s">
        <v>178</v>
      </c>
      <c r="K250" s="25" t="s">
        <v>179</v>
      </c>
      <c r="L250" s="25" t="s">
        <v>456</v>
      </c>
      <c r="M250" s="24" t="s">
        <v>181</v>
      </c>
      <c r="N250" s="26" t="n">
        <v>0</v>
      </c>
      <c r="O250" s="26" t="n">
        <v>600</v>
      </c>
      <c r="P250" s="26" t="n">
        <v>600</v>
      </c>
      <c r="Q250" s="25" t="s">
        <v>182</v>
      </c>
    </row>
    <row r="251" customFormat="false" ht="15" hidden="false" customHeight="false" outlineLevel="0" collapsed="false">
      <c r="A251" s="24" t="s">
        <v>9</v>
      </c>
      <c r="B251" s="25" t="s">
        <v>4</v>
      </c>
      <c r="C251" s="24" t="s">
        <v>175</v>
      </c>
      <c r="D251" s="24" t="s">
        <v>221</v>
      </c>
      <c r="E251" s="25" t="s">
        <v>281</v>
      </c>
      <c r="F251" s="25" t="s">
        <v>138</v>
      </c>
      <c r="G251" s="26" t="n">
        <v>51600</v>
      </c>
      <c r="H251" s="26" t="n">
        <v>0</v>
      </c>
      <c r="I251" s="26" t="n">
        <v>51600</v>
      </c>
      <c r="J251" s="25" t="s">
        <v>185</v>
      </c>
      <c r="K251" s="25" t="s">
        <v>456</v>
      </c>
      <c r="L251" s="25" t="s">
        <v>456</v>
      </c>
      <c r="M251" s="24" t="s">
        <v>186</v>
      </c>
      <c r="N251" s="26" t="n">
        <v>0</v>
      </c>
      <c r="O251" s="26" t="n">
        <v>1100</v>
      </c>
      <c r="P251" s="26" t="n">
        <v>1100</v>
      </c>
      <c r="Q251" s="25" t="s">
        <v>187</v>
      </c>
    </row>
    <row r="252" customFormat="false" ht="15" hidden="false" customHeight="false" outlineLevel="0" collapsed="false">
      <c r="A252" s="24" t="s">
        <v>9</v>
      </c>
      <c r="B252" s="25" t="s">
        <v>4</v>
      </c>
      <c r="C252" s="24" t="s">
        <v>175</v>
      </c>
      <c r="D252" s="24" t="s">
        <v>221</v>
      </c>
      <c r="E252" s="25" t="s">
        <v>462</v>
      </c>
      <c r="F252" s="25" t="s">
        <v>218</v>
      </c>
      <c r="G252" s="26" t="n">
        <v>207300</v>
      </c>
      <c r="H252" s="26" t="n">
        <v>0</v>
      </c>
      <c r="I252" s="26" t="n">
        <v>207300</v>
      </c>
      <c r="J252" s="25" t="s">
        <v>185</v>
      </c>
      <c r="K252" s="25" t="s">
        <v>457</v>
      </c>
      <c r="L252" s="25" t="s">
        <v>456</v>
      </c>
      <c r="M252" s="24" t="s">
        <v>181</v>
      </c>
      <c r="N252" s="26" t="n">
        <v>0</v>
      </c>
      <c r="O252" s="26" t="n">
        <v>4600</v>
      </c>
      <c r="P252" s="26" t="n">
        <v>4600</v>
      </c>
      <c r="Q252" s="25" t="s">
        <v>182</v>
      </c>
    </row>
    <row r="253" customFormat="false" ht="15" hidden="false" customHeight="false" outlineLevel="0" collapsed="false">
      <c r="A253" s="24" t="s">
        <v>9</v>
      </c>
      <c r="B253" s="25" t="s">
        <v>4</v>
      </c>
      <c r="C253" s="24" t="s">
        <v>225</v>
      </c>
      <c r="D253" s="24" t="s">
        <v>463</v>
      </c>
      <c r="E253" s="25" t="s">
        <v>48</v>
      </c>
      <c r="F253" s="25" t="s">
        <v>218</v>
      </c>
      <c r="G253" s="26" t="n">
        <v>69400</v>
      </c>
      <c r="H253" s="26" t="n">
        <v>0</v>
      </c>
      <c r="I253" s="26" t="n">
        <v>69400</v>
      </c>
      <c r="J253" s="25" t="s">
        <v>185</v>
      </c>
      <c r="K253" s="25" t="s">
        <v>457</v>
      </c>
      <c r="L253" s="25" t="s">
        <v>456</v>
      </c>
      <c r="M253" s="24" t="s">
        <v>181</v>
      </c>
      <c r="N253" s="26" t="n">
        <v>0</v>
      </c>
      <c r="O253" s="26" t="n">
        <v>1600</v>
      </c>
      <c r="P253" s="26" t="n">
        <v>1600</v>
      </c>
      <c r="Q253" s="25" t="s">
        <v>182</v>
      </c>
    </row>
    <row r="254" customFormat="false" ht="15" hidden="false" customHeight="false" outlineLevel="0" collapsed="false">
      <c r="A254" s="24" t="s">
        <v>9</v>
      </c>
      <c r="B254" s="25" t="s">
        <v>4</v>
      </c>
      <c r="C254" s="24" t="s">
        <v>225</v>
      </c>
      <c r="D254" s="24" t="s">
        <v>464</v>
      </c>
      <c r="E254" s="24" t="s">
        <v>358</v>
      </c>
      <c r="F254" s="25" t="s">
        <v>135</v>
      </c>
      <c r="G254" s="26" t="n">
        <v>51500</v>
      </c>
      <c r="H254" s="26" t="n">
        <v>0</v>
      </c>
      <c r="I254" s="26" t="n">
        <v>51500</v>
      </c>
      <c r="J254" s="25" t="s">
        <v>185</v>
      </c>
      <c r="K254" s="25" t="s">
        <v>457</v>
      </c>
      <c r="L254" s="25" t="s">
        <v>456</v>
      </c>
      <c r="M254" s="24" t="s">
        <v>181</v>
      </c>
      <c r="N254" s="26" t="n">
        <v>0</v>
      </c>
      <c r="O254" s="26" t="n">
        <v>1200</v>
      </c>
      <c r="P254" s="26" t="n">
        <v>1200</v>
      </c>
      <c r="Q254" s="25" t="s">
        <v>182</v>
      </c>
    </row>
    <row r="255" customFormat="false" ht="15" hidden="false" customHeight="false" outlineLevel="0" collapsed="false">
      <c r="A255" s="24" t="s">
        <v>9</v>
      </c>
      <c r="B255" s="25" t="s">
        <v>4</v>
      </c>
      <c r="C255" s="24" t="s">
        <v>225</v>
      </c>
      <c r="D255" s="24" t="s">
        <v>231</v>
      </c>
      <c r="E255" s="25" t="s">
        <v>272</v>
      </c>
      <c r="F255" s="25" t="s">
        <v>218</v>
      </c>
      <c r="G255" s="26" t="n">
        <v>44500</v>
      </c>
      <c r="H255" s="26" t="n">
        <v>0</v>
      </c>
      <c r="I255" s="26" t="n">
        <v>44500</v>
      </c>
      <c r="J255" s="25" t="s">
        <v>185</v>
      </c>
      <c r="K255" s="25" t="s">
        <v>457</v>
      </c>
      <c r="L255" s="25" t="s">
        <v>456</v>
      </c>
      <c r="M255" s="24" t="s">
        <v>181</v>
      </c>
      <c r="N255" s="26" t="n">
        <v>0</v>
      </c>
      <c r="O255" s="26" t="n">
        <v>1000</v>
      </c>
      <c r="P255" s="26" t="n">
        <v>1000</v>
      </c>
      <c r="Q255" s="25" t="s">
        <v>182</v>
      </c>
    </row>
    <row r="256" customFormat="false" ht="15" hidden="false" customHeight="false" outlineLevel="0" collapsed="false">
      <c r="A256" s="24" t="s">
        <v>9</v>
      </c>
      <c r="B256" s="25" t="s">
        <v>4</v>
      </c>
      <c r="C256" s="24" t="s">
        <v>225</v>
      </c>
      <c r="D256" s="24" t="s">
        <v>465</v>
      </c>
      <c r="E256" s="25" t="s">
        <v>206</v>
      </c>
      <c r="F256" s="25" t="s">
        <v>137</v>
      </c>
      <c r="G256" s="26" t="n">
        <v>34800</v>
      </c>
      <c r="H256" s="26" t="n">
        <v>0</v>
      </c>
      <c r="I256" s="26" t="n">
        <v>34800</v>
      </c>
      <c r="J256" s="25" t="s">
        <v>185</v>
      </c>
      <c r="K256" s="25" t="s">
        <v>457</v>
      </c>
      <c r="L256" s="25" t="s">
        <v>456</v>
      </c>
      <c r="M256" s="24" t="s">
        <v>181</v>
      </c>
      <c r="N256" s="26" t="n">
        <v>0</v>
      </c>
      <c r="O256" s="26" t="n">
        <v>800</v>
      </c>
      <c r="P256" s="26" t="n">
        <v>800</v>
      </c>
      <c r="Q256" s="25" t="s">
        <v>182</v>
      </c>
    </row>
    <row r="257" customFormat="false" ht="15" hidden="false" customHeight="false" outlineLevel="0" collapsed="false">
      <c r="A257" s="24" t="s">
        <v>9</v>
      </c>
      <c r="B257" s="25" t="s">
        <v>4</v>
      </c>
      <c r="C257" s="24" t="s">
        <v>225</v>
      </c>
      <c r="D257" s="24" t="s">
        <v>466</v>
      </c>
      <c r="E257" s="25" t="s">
        <v>460</v>
      </c>
      <c r="F257" s="25" t="s">
        <v>184</v>
      </c>
      <c r="G257" s="26" t="n">
        <v>104900</v>
      </c>
      <c r="H257" s="26" t="n">
        <v>9200</v>
      </c>
      <c r="I257" s="26" t="n">
        <v>95700</v>
      </c>
      <c r="J257" s="25" t="s">
        <v>185</v>
      </c>
      <c r="K257" s="25" t="s">
        <v>457</v>
      </c>
      <c r="L257" s="25" t="s">
        <v>457</v>
      </c>
      <c r="M257" s="24" t="s">
        <v>193</v>
      </c>
      <c r="N257" s="26" t="n">
        <v>9200</v>
      </c>
      <c r="O257" s="26" t="n">
        <v>9200</v>
      </c>
      <c r="P257" s="26" t="n">
        <v>0</v>
      </c>
      <c r="Q257" s="24"/>
    </row>
    <row r="258" customFormat="false" ht="15" hidden="false" customHeight="false" outlineLevel="0" collapsed="false">
      <c r="A258" s="24" t="s">
        <v>9</v>
      </c>
      <c r="B258" s="25" t="s">
        <v>4</v>
      </c>
      <c r="C258" s="24" t="s">
        <v>225</v>
      </c>
      <c r="D258" s="24" t="s">
        <v>467</v>
      </c>
      <c r="E258" s="25" t="s">
        <v>201</v>
      </c>
      <c r="F258" s="25" t="s">
        <v>134</v>
      </c>
      <c r="G258" s="26" t="n">
        <v>67700</v>
      </c>
      <c r="H258" s="26" t="n">
        <v>0</v>
      </c>
      <c r="I258" s="26" t="n">
        <v>67700</v>
      </c>
      <c r="J258" s="25" t="s">
        <v>185</v>
      </c>
      <c r="K258" s="25" t="s">
        <v>457</v>
      </c>
      <c r="L258" s="25" t="s">
        <v>456</v>
      </c>
      <c r="M258" s="24" t="s">
        <v>181</v>
      </c>
      <c r="N258" s="26" t="n">
        <v>0</v>
      </c>
      <c r="O258" s="26" t="n">
        <v>1500</v>
      </c>
      <c r="P258" s="26" t="n">
        <v>1500</v>
      </c>
      <c r="Q258" s="25" t="s">
        <v>182</v>
      </c>
    </row>
    <row r="259" customFormat="false" ht="15" hidden="false" customHeight="false" outlineLevel="0" collapsed="false">
      <c r="A259" s="24" t="s">
        <v>9</v>
      </c>
      <c r="B259" s="25" t="s">
        <v>4</v>
      </c>
      <c r="C259" s="24" t="s">
        <v>225</v>
      </c>
      <c r="D259" s="24" t="s">
        <v>468</v>
      </c>
      <c r="E259" s="24" t="s">
        <v>361</v>
      </c>
      <c r="F259" s="25" t="s">
        <v>135</v>
      </c>
      <c r="G259" s="26" t="n">
        <v>57800</v>
      </c>
      <c r="H259" s="26" t="n">
        <v>5100</v>
      </c>
      <c r="I259" s="26" t="n">
        <v>52700</v>
      </c>
      <c r="J259" s="25" t="s">
        <v>185</v>
      </c>
      <c r="K259" s="25" t="s">
        <v>457</v>
      </c>
      <c r="L259" s="25" t="s">
        <v>457</v>
      </c>
      <c r="M259" s="24" t="s">
        <v>193</v>
      </c>
      <c r="N259" s="26" t="n">
        <v>5100</v>
      </c>
      <c r="O259" s="26" t="n">
        <v>5100</v>
      </c>
      <c r="P259" s="26" t="n">
        <v>0</v>
      </c>
      <c r="Q259" s="24"/>
    </row>
    <row r="260" customFormat="false" ht="15" hidden="false" customHeight="false" outlineLevel="0" collapsed="false">
      <c r="A260" s="24" t="s">
        <v>9</v>
      </c>
      <c r="B260" s="25" t="s">
        <v>4</v>
      </c>
      <c r="C260" s="24" t="s">
        <v>225</v>
      </c>
      <c r="D260" s="24" t="s">
        <v>469</v>
      </c>
      <c r="E260" s="25" t="s">
        <v>214</v>
      </c>
      <c r="F260" s="25" t="s">
        <v>138</v>
      </c>
      <c r="G260" s="26" t="n">
        <v>28900</v>
      </c>
      <c r="H260" s="26" t="n">
        <v>0</v>
      </c>
      <c r="I260" s="26" t="n">
        <v>28900</v>
      </c>
      <c r="J260" s="25" t="s">
        <v>185</v>
      </c>
      <c r="K260" s="25" t="s">
        <v>456</v>
      </c>
      <c r="L260" s="25" t="s">
        <v>456</v>
      </c>
      <c r="M260" s="24" t="s">
        <v>186</v>
      </c>
      <c r="N260" s="26" t="n">
        <v>0</v>
      </c>
      <c r="O260" s="26" t="n">
        <v>700</v>
      </c>
      <c r="P260" s="26" t="n">
        <v>700</v>
      </c>
      <c r="Q260" s="25" t="s">
        <v>187</v>
      </c>
    </row>
    <row r="261" customFormat="false" ht="15" hidden="false" customHeight="false" outlineLevel="0" collapsed="false">
      <c r="A261" s="24" t="s">
        <v>9</v>
      </c>
      <c r="B261" s="25" t="s">
        <v>4</v>
      </c>
      <c r="C261" s="24" t="s">
        <v>225</v>
      </c>
      <c r="D261" s="24" t="s">
        <v>470</v>
      </c>
      <c r="E261" s="25" t="s">
        <v>177</v>
      </c>
      <c r="F261" s="25" t="s">
        <v>140</v>
      </c>
      <c r="G261" s="26" t="n">
        <v>41100</v>
      </c>
      <c r="H261" s="26" t="n">
        <v>0</v>
      </c>
      <c r="I261" s="26" t="n">
        <v>41100</v>
      </c>
      <c r="J261" s="25" t="s">
        <v>185</v>
      </c>
      <c r="K261" s="25" t="s">
        <v>457</v>
      </c>
      <c r="L261" s="25" t="s">
        <v>456</v>
      </c>
      <c r="M261" s="24" t="s">
        <v>181</v>
      </c>
      <c r="N261" s="26" t="n">
        <v>0</v>
      </c>
      <c r="O261" s="26" t="n">
        <v>900</v>
      </c>
      <c r="P261" s="26" t="n">
        <v>900</v>
      </c>
      <c r="Q261" s="25" t="s">
        <v>182</v>
      </c>
    </row>
    <row r="262" customFormat="false" ht="15" hidden="false" customHeight="false" outlineLevel="0" collapsed="false">
      <c r="A262" s="24" t="s">
        <v>9</v>
      </c>
      <c r="B262" s="25" t="s">
        <v>4</v>
      </c>
      <c r="C262" s="24" t="s">
        <v>225</v>
      </c>
      <c r="D262" s="24" t="s">
        <v>471</v>
      </c>
      <c r="E262" s="25" t="s">
        <v>315</v>
      </c>
      <c r="F262" s="25" t="s">
        <v>218</v>
      </c>
      <c r="G262" s="26" t="n">
        <v>68600</v>
      </c>
      <c r="H262" s="26" t="n">
        <v>0</v>
      </c>
      <c r="I262" s="26" t="n">
        <v>68600</v>
      </c>
      <c r="J262" s="25" t="s">
        <v>185</v>
      </c>
      <c r="K262" s="25" t="s">
        <v>457</v>
      </c>
      <c r="L262" s="25" t="s">
        <v>456</v>
      </c>
      <c r="M262" s="24" t="s">
        <v>181</v>
      </c>
      <c r="N262" s="26" t="n">
        <v>0</v>
      </c>
      <c r="O262" s="26" t="n">
        <v>1600</v>
      </c>
      <c r="P262" s="26" t="n">
        <v>1600</v>
      </c>
      <c r="Q262" s="25" t="s">
        <v>182</v>
      </c>
    </row>
    <row r="263" customFormat="false" ht="15" hidden="false" customHeight="false" outlineLevel="0" collapsed="false">
      <c r="A263" s="24" t="s">
        <v>9</v>
      </c>
      <c r="B263" s="25" t="s">
        <v>4</v>
      </c>
      <c r="C263" s="24" t="s">
        <v>225</v>
      </c>
      <c r="D263" s="24" t="s">
        <v>376</v>
      </c>
      <c r="E263" s="25" t="s">
        <v>188</v>
      </c>
      <c r="F263" s="25" t="s">
        <v>189</v>
      </c>
      <c r="G263" s="26" t="n">
        <v>4900</v>
      </c>
      <c r="H263" s="26" t="n">
        <v>0</v>
      </c>
      <c r="I263" s="26" t="n">
        <v>4900</v>
      </c>
      <c r="J263" s="25" t="s">
        <v>185</v>
      </c>
      <c r="K263" s="25" t="s">
        <v>457</v>
      </c>
      <c r="L263" s="25" t="s">
        <v>456</v>
      </c>
      <c r="M263" s="24" t="s">
        <v>181</v>
      </c>
      <c r="N263" s="26" t="n">
        <v>0</v>
      </c>
      <c r="O263" s="26" t="n">
        <v>100</v>
      </c>
      <c r="P263" s="26" t="n">
        <v>100</v>
      </c>
      <c r="Q263" s="25" t="s">
        <v>182</v>
      </c>
    </row>
    <row r="264" customFormat="false" ht="15" hidden="false" customHeight="false" outlineLevel="0" collapsed="false">
      <c r="A264" s="24" t="s">
        <v>9</v>
      </c>
      <c r="B264" s="25" t="s">
        <v>4</v>
      </c>
      <c r="C264" s="24" t="s">
        <v>225</v>
      </c>
      <c r="D264" s="24" t="s">
        <v>472</v>
      </c>
      <c r="E264" s="24" t="s">
        <v>207</v>
      </c>
      <c r="F264" s="25" t="s">
        <v>154</v>
      </c>
      <c r="G264" s="26" t="n">
        <v>6300</v>
      </c>
      <c r="H264" s="26" t="n">
        <v>0</v>
      </c>
      <c r="I264" s="26" t="n">
        <v>6300</v>
      </c>
      <c r="J264" s="25" t="s">
        <v>185</v>
      </c>
      <c r="K264" s="25" t="s">
        <v>457</v>
      </c>
      <c r="L264" s="25" t="s">
        <v>456</v>
      </c>
      <c r="M264" s="24" t="s">
        <v>181</v>
      </c>
      <c r="N264" s="26" t="n">
        <v>0</v>
      </c>
      <c r="O264" s="26" t="n">
        <v>100</v>
      </c>
      <c r="P264" s="26" t="n">
        <v>100</v>
      </c>
      <c r="Q264" s="25" t="s">
        <v>182</v>
      </c>
    </row>
    <row r="265" customFormat="false" ht="15" hidden="false" customHeight="false" outlineLevel="0" collapsed="false">
      <c r="A265" s="24" t="s">
        <v>9</v>
      </c>
      <c r="B265" s="25" t="s">
        <v>4</v>
      </c>
      <c r="C265" s="24" t="s">
        <v>225</v>
      </c>
      <c r="D265" s="24" t="s">
        <v>473</v>
      </c>
      <c r="E265" s="25" t="s">
        <v>195</v>
      </c>
      <c r="F265" s="25" t="s">
        <v>144</v>
      </c>
      <c r="G265" s="26" t="n">
        <v>29500</v>
      </c>
      <c r="H265" s="26" t="n">
        <v>0</v>
      </c>
      <c r="I265" s="26" t="n">
        <v>29500</v>
      </c>
      <c r="J265" s="25" t="s">
        <v>185</v>
      </c>
      <c r="K265" s="25" t="s">
        <v>457</v>
      </c>
      <c r="L265" s="25" t="s">
        <v>456</v>
      </c>
      <c r="M265" s="24" t="s">
        <v>181</v>
      </c>
      <c r="N265" s="26" t="n">
        <v>0</v>
      </c>
      <c r="O265" s="26" t="n">
        <v>700</v>
      </c>
      <c r="P265" s="26" t="n">
        <v>700</v>
      </c>
      <c r="Q265" s="25" t="s">
        <v>182</v>
      </c>
    </row>
    <row r="266" customFormat="false" ht="15" hidden="false" customHeight="false" outlineLevel="0" collapsed="false">
      <c r="A266" s="24" t="s">
        <v>9</v>
      </c>
      <c r="B266" s="25" t="s">
        <v>4</v>
      </c>
      <c r="C266" s="24" t="s">
        <v>225</v>
      </c>
      <c r="D266" s="24" t="s">
        <v>474</v>
      </c>
      <c r="E266" s="25" t="s">
        <v>266</v>
      </c>
      <c r="F266" s="25" t="s">
        <v>157</v>
      </c>
      <c r="G266" s="26" t="n">
        <v>17800</v>
      </c>
      <c r="H266" s="26" t="n">
        <v>0</v>
      </c>
      <c r="I266" s="26" t="n">
        <v>17800</v>
      </c>
      <c r="J266" s="25" t="s">
        <v>185</v>
      </c>
      <c r="K266" s="25" t="s">
        <v>457</v>
      </c>
      <c r="L266" s="25" t="s">
        <v>456</v>
      </c>
      <c r="M266" s="24" t="s">
        <v>181</v>
      </c>
      <c r="N266" s="26" t="n">
        <v>0</v>
      </c>
      <c r="O266" s="26" t="n">
        <v>400</v>
      </c>
      <c r="P266" s="26" t="n">
        <v>400</v>
      </c>
      <c r="Q266" s="25" t="s">
        <v>182</v>
      </c>
    </row>
    <row r="267" customFormat="false" ht="15" hidden="false" customHeight="false" outlineLevel="0" collapsed="false">
      <c r="A267" s="24" t="s">
        <v>9</v>
      </c>
      <c r="B267" s="25" t="s">
        <v>4</v>
      </c>
      <c r="C267" s="24" t="s">
        <v>225</v>
      </c>
      <c r="D267" s="24" t="s">
        <v>475</v>
      </c>
      <c r="E267" s="25" t="s">
        <v>461</v>
      </c>
      <c r="F267" s="25" t="s">
        <v>184</v>
      </c>
      <c r="G267" s="26" t="n">
        <v>142200</v>
      </c>
      <c r="H267" s="26" t="n">
        <v>0</v>
      </c>
      <c r="I267" s="26" t="n">
        <v>142200</v>
      </c>
      <c r="J267" s="25" t="s">
        <v>185</v>
      </c>
      <c r="K267" s="25" t="s">
        <v>457</v>
      </c>
      <c r="L267" s="24"/>
      <c r="M267" s="24" t="s">
        <v>196</v>
      </c>
      <c r="N267" s="26" t="n">
        <v>0</v>
      </c>
      <c r="O267" s="26" t="n">
        <v>0</v>
      </c>
      <c r="P267" s="26" t="n">
        <v>0</v>
      </c>
      <c r="Q267" s="25" t="s">
        <v>197</v>
      </c>
    </row>
    <row r="268" customFormat="false" ht="15" hidden="false" customHeight="false" outlineLevel="0" collapsed="false">
      <c r="A268" s="24" t="s">
        <v>9</v>
      </c>
      <c r="B268" s="25" t="s">
        <v>4</v>
      </c>
      <c r="C268" s="24" t="s">
        <v>225</v>
      </c>
      <c r="D268" s="24" t="s">
        <v>476</v>
      </c>
      <c r="E268" s="25" t="s">
        <v>202</v>
      </c>
      <c r="F268" s="25" t="s">
        <v>144</v>
      </c>
      <c r="G268" s="26" t="n">
        <v>11400</v>
      </c>
      <c r="H268" s="26" t="n">
        <v>1000</v>
      </c>
      <c r="I268" s="26" t="n">
        <v>10400</v>
      </c>
      <c r="J268" s="25" t="s">
        <v>185</v>
      </c>
      <c r="K268" s="25" t="s">
        <v>456</v>
      </c>
      <c r="L268" s="25" t="s">
        <v>456</v>
      </c>
      <c r="M268" s="24" t="s">
        <v>193</v>
      </c>
      <c r="N268" s="26" t="n">
        <v>1000</v>
      </c>
      <c r="O268" s="26" t="n">
        <v>1000</v>
      </c>
      <c r="P268" s="26" t="n">
        <v>0</v>
      </c>
      <c r="Q268" s="24"/>
    </row>
    <row r="269" customFormat="false" ht="15" hidden="false" customHeight="false" outlineLevel="0" collapsed="false">
      <c r="A269" s="24" t="s">
        <v>9</v>
      </c>
      <c r="B269" s="25" t="s">
        <v>4</v>
      </c>
      <c r="C269" s="24" t="s">
        <v>225</v>
      </c>
      <c r="D269" s="24" t="s">
        <v>477</v>
      </c>
      <c r="E269" s="25" t="s">
        <v>216</v>
      </c>
      <c r="F269" s="25" t="s">
        <v>144</v>
      </c>
      <c r="G269" s="26" t="n">
        <v>19000</v>
      </c>
      <c r="H269" s="26" t="n">
        <v>0</v>
      </c>
      <c r="I269" s="26" t="n">
        <v>19000</v>
      </c>
      <c r="J269" s="25" t="s">
        <v>185</v>
      </c>
      <c r="K269" s="25" t="s">
        <v>457</v>
      </c>
      <c r="L269" s="25" t="s">
        <v>456</v>
      </c>
      <c r="M269" s="24" t="s">
        <v>181</v>
      </c>
      <c r="N269" s="26" t="n">
        <v>0</v>
      </c>
      <c r="O269" s="26" t="n">
        <v>400</v>
      </c>
      <c r="P269" s="26" t="n">
        <v>400</v>
      </c>
      <c r="Q269" s="25" t="s">
        <v>182</v>
      </c>
    </row>
    <row r="270" customFormat="false" ht="15" hidden="false" customHeight="false" outlineLevel="0" collapsed="false">
      <c r="A270" s="24" t="s">
        <v>9</v>
      </c>
      <c r="B270" s="25" t="s">
        <v>4</v>
      </c>
      <c r="C270" s="24" t="s">
        <v>225</v>
      </c>
      <c r="D270" s="24" t="s">
        <v>270</v>
      </c>
      <c r="E270" s="24" t="s">
        <v>204</v>
      </c>
      <c r="F270" s="25" t="s">
        <v>205</v>
      </c>
      <c r="G270" s="26" t="n">
        <v>10300</v>
      </c>
      <c r="H270" s="26" t="n">
        <v>0</v>
      </c>
      <c r="I270" s="26" t="n">
        <v>10300</v>
      </c>
      <c r="J270" s="25" t="s">
        <v>178</v>
      </c>
      <c r="K270" s="25" t="s">
        <v>179</v>
      </c>
      <c r="L270" s="25" t="s">
        <v>179</v>
      </c>
      <c r="M270" s="24" t="s">
        <v>186</v>
      </c>
      <c r="N270" s="26" t="n">
        <v>0</v>
      </c>
      <c r="O270" s="26" t="n">
        <v>200</v>
      </c>
      <c r="P270" s="26" t="n">
        <v>200</v>
      </c>
      <c r="Q270" s="25" t="s">
        <v>187</v>
      </c>
    </row>
    <row r="271" customFormat="false" ht="15" hidden="false" customHeight="false" outlineLevel="0" collapsed="false">
      <c r="A271" s="24" t="s">
        <v>9</v>
      </c>
      <c r="B271" s="25" t="s">
        <v>4</v>
      </c>
      <c r="C271" s="24" t="s">
        <v>225</v>
      </c>
      <c r="D271" s="24" t="s">
        <v>478</v>
      </c>
      <c r="E271" s="25" t="s">
        <v>462</v>
      </c>
      <c r="F271" s="25" t="s">
        <v>218</v>
      </c>
      <c r="G271" s="26" t="n">
        <v>85400</v>
      </c>
      <c r="H271" s="26" t="n">
        <v>0</v>
      </c>
      <c r="I271" s="26" t="n">
        <v>85400</v>
      </c>
      <c r="J271" s="25" t="s">
        <v>185</v>
      </c>
      <c r="K271" s="25" t="s">
        <v>457</v>
      </c>
      <c r="L271" s="25" t="s">
        <v>456</v>
      </c>
      <c r="M271" s="24" t="s">
        <v>181</v>
      </c>
      <c r="N271" s="26" t="n">
        <v>0</v>
      </c>
      <c r="O271" s="26" t="n">
        <v>1900</v>
      </c>
      <c r="P271" s="26" t="n">
        <v>1900</v>
      </c>
      <c r="Q271" s="25" t="s">
        <v>182</v>
      </c>
    </row>
    <row r="272" customFormat="false" ht="15" hidden="false" customHeight="false" outlineLevel="0" collapsed="false">
      <c r="A272" s="24" t="s">
        <v>9</v>
      </c>
      <c r="B272" s="25" t="s">
        <v>4</v>
      </c>
      <c r="C272" s="24" t="s">
        <v>225</v>
      </c>
      <c r="D272" s="24" t="s">
        <v>479</v>
      </c>
      <c r="E272" s="25" t="s">
        <v>312</v>
      </c>
      <c r="F272" s="25" t="s">
        <v>158</v>
      </c>
      <c r="G272" s="26" t="n">
        <v>25800</v>
      </c>
      <c r="H272" s="26" t="n">
        <v>0</v>
      </c>
      <c r="I272" s="26" t="n">
        <v>25800</v>
      </c>
      <c r="J272" s="25" t="s">
        <v>185</v>
      </c>
      <c r="K272" s="25" t="s">
        <v>457</v>
      </c>
      <c r="L272" s="25" t="s">
        <v>456</v>
      </c>
      <c r="M272" s="24" t="s">
        <v>181</v>
      </c>
      <c r="N272" s="26" t="n">
        <v>0</v>
      </c>
      <c r="O272" s="26" t="n">
        <v>600</v>
      </c>
      <c r="P272" s="26" t="n">
        <v>600</v>
      </c>
      <c r="Q272" s="25" t="s">
        <v>182</v>
      </c>
    </row>
    <row r="273" customFormat="false" ht="15" hidden="false" customHeight="false" outlineLevel="0" collapsed="false">
      <c r="A273" s="24" t="s">
        <v>9</v>
      </c>
      <c r="B273" s="25" t="s">
        <v>4</v>
      </c>
      <c r="C273" s="24" t="s">
        <v>225</v>
      </c>
      <c r="D273" s="24" t="s">
        <v>479</v>
      </c>
      <c r="E273" s="24" t="s">
        <v>385</v>
      </c>
      <c r="F273" s="25" t="s">
        <v>135</v>
      </c>
      <c r="G273" s="26" t="n">
        <v>63900</v>
      </c>
      <c r="H273" s="26" t="n">
        <v>0</v>
      </c>
      <c r="I273" s="26" t="n">
        <v>63900</v>
      </c>
      <c r="J273" s="25" t="s">
        <v>185</v>
      </c>
      <c r="K273" s="25" t="s">
        <v>457</v>
      </c>
      <c r="L273" s="25" t="s">
        <v>456</v>
      </c>
      <c r="M273" s="24" t="s">
        <v>181</v>
      </c>
      <c r="N273" s="26" t="n">
        <v>0</v>
      </c>
      <c r="O273" s="26" t="n">
        <v>1500</v>
      </c>
      <c r="P273" s="26" t="n">
        <v>1500</v>
      </c>
      <c r="Q273" s="25" t="s">
        <v>182</v>
      </c>
    </row>
    <row r="274" customFormat="false" ht="15" hidden="false" customHeight="false" outlineLevel="0" collapsed="false">
      <c r="A274" s="24" t="s">
        <v>9</v>
      </c>
      <c r="B274" s="25" t="s">
        <v>4</v>
      </c>
      <c r="C274" s="24" t="s">
        <v>225</v>
      </c>
      <c r="D274" s="24" t="s">
        <v>480</v>
      </c>
      <c r="E274" s="25" t="s">
        <v>219</v>
      </c>
      <c r="F274" s="25" t="s">
        <v>137</v>
      </c>
      <c r="G274" s="26" t="n">
        <v>25700</v>
      </c>
      <c r="H274" s="26" t="n">
        <v>2200</v>
      </c>
      <c r="I274" s="26" t="n">
        <v>23500</v>
      </c>
      <c r="J274" s="25" t="s">
        <v>185</v>
      </c>
      <c r="K274" s="25" t="s">
        <v>457</v>
      </c>
      <c r="L274" s="25" t="s">
        <v>457</v>
      </c>
      <c r="M274" s="24" t="s">
        <v>193</v>
      </c>
      <c r="N274" s="26" t="n">
        <v>2200</v>
      </c>
      <c r="O274" s="26" t="n">
        <v>2200</v>
      </c>
      <c r="P274" s="26" t="n">
        <v>0</v>
      </c>
      <c r="Q274" s="24"/>
    </row>
    <row r="275" customFormat="false" ht="15" hidden="false" customHeight="false" outlineLevel="0" collapsed="false">
      <c r="A275" s="24" t="s">
        <v>9</v>
      </c>
      <c r="B275" s="25" t="s">
        <v>4</v>
      </c>
      <c r="C275" s="24" t="s">
        <v>225</v>
      </c>
      <c r="D275" s="24" t="s">
        <v>481</v>
      </c>
      <c r="E275" s="25" t="s">
        <v>194</v>
      </c>
      <c r="F275" s="25" t="s">
        <v>145</v>
      </c>
      <c r="G275" s="26" t="n">
        <v>31400</v>
      </c>
      <c r="H275" s="26" t="n">
        <v>0</v>
      </c>
      <c r="I275" s="26" t="n">
        <v>31400</v>
      </c>
      <c r="J275" s="25" t="s">
        <v>185</v>
      </c>
      <c r="K275" s="25" t="s">
        <v>456</v>
      </c>
      <c r="L275" s="25" t="s">
        <v>456</v>
      </c>
      <c r="M275" s="24" t="s">
        <v>186</v>
      </c>
      <c r="N275" s="26" t="n">
        <v>0</v>
      </c>
      <c r="O275" s="26" t="n">
        <v>700</v>
      </c>
      <c r="P275" s="26" t="n">
        <v>700</v>
      </c>
      <c r="Q275" s="25" t="s">
        <v>187</v>
      </c>
    </row>
    <row r="276" customFormat="false" ht="15" hidden="false" customHeight="false" outlineLevel="0" collapsed="false">
      <c r="A276" s="24" t="s">
        <v>9</v>
      </c>
      <c r="B276" s="25" t="s">
        <v>4</v>
      </c>
      <c r="C276" s="24" t="s">
        <v>225</v>
      </c>
      <c r="D276" s="24" t="s">
        <v>482</v>
      </c>
      <c r="E276" s="25" t="s">
        <v>192</v>
      </c>
      <c r="F276" s="25" t="s">
        <v>147</v>
      </c>
      <c r="G276" s="26" t="n">
        <v>18200</v>
      </c>
      <c r="H276" s="26" t="n">
        <v>0</v>
      </c>
      <c r="I276" s="26" t="n">
        <v>18200</v>
      </c>
      <c r="J276" s="25" t="s">
        <v>178</v>
      </c>
      <c r="K276" s="25" t="s">
        <v>179</v>
      </c>
      <c r="L276" s="25" t="s">
        <v>179</v>
      </c>
      <c r="M276" s="24" t="s">
        <v>186</v>
      </c>
      <c r="N276" s="26" t="n">
        <v>0</v>
      </c>
      <c r="O276" s="26" t="n">
        <v>400</v>
      </c>
      <c r="P276" s="26" t="n">
        <v>400</v>
      </c>
      <c r="Q276" s="25" t="s">
        <v>187</v>
      </c>
    </row>
    <row r="277" customFormat="false" ht="15" hidden="false" customHeight="false" outlineLevel="0" collapsed="false">
      <c r="A277" s="24" t="s">
        <v>9</v>
      </c>
      <c r="B277" s="25" t="s">
        <v>4</v>
      </c>
      <c r="C277" s="24" t="s">
        <v>225</v>
      </c>
      <c r="D277" s="24" t="s">
        <v>483</v>
      </c>
      <c r="E277" s="24" t="s">
        <v>253</v>
      </c>
      <c r="F277" s="25" t="s">
        <v>153</v>
      </c>
      <c r="G277" s="26" t="n">
        <v>97300</v>
      </c>
      <c r="H277" s="26" t="n">
        <v>0</v>
      </c>
      <c r="I277" s="26" t="n">
        <v>97300</v>
      </c>
      <c r="J277" s="25" t="s">
        <v>185</v>
      </c>
      <c r="K277" s="25" t="s">
        <v>457</v>
      </c>
      <c r="L277" s="25" t="s">
        <v>456</v>
      </c>
      <c r="M277" s="24" t="s">
        <v>181</v>
      </c>
      <c r="N277" s="26" t="n">
        <v>0</v>
      </c>
      <c r="O277" s="26" t="n">
        <v>2200</v>
      </c>
      <c r="P277" s="26" t="n">
        <v>2200</v>
      </c>
      <c r="Q277" s="25" t="s">
        <v>182</v>
      </c>
    </row>
    <row r="278" customFormat="false" ht="15" hidden="false" customHeight="false" outlineLevel="0" collapsed="false">
      <c r="A278" s="24" t="s">
        <v>9</v>
      </c>
      <c r="B278" s="25" t="s">
        <v>4</v>
      </c>
      <c r="C278" s="24" t="s">
        <v>225</v>
      </c>
      <c r="D278" s="24" t="s">
        <v>484</v>
      </c>
      <c r="E278" s="25" t="s">
        <v>48</v>
      </c>
      <c r="F278" s="25" t="s">
        <v>218</v>
      </c>
      <c r="G278" s="26" t="n">
        <v>88500</v>
      </c>
      <c r="H278" s="26" t="n">
        <v>7700</v>
      </c>
      <c r="I278" s="26" t="n">
        <v>80800</v>
      </c>
      <c r="J278" s="25" t="s">
        <v>185</v>
      </c>
      <c r="K278" s="25" t="s">
        <v>457</v>
      </c>
      <c r="L278" s="25" t="s">
        <v>457</v>
      </c>
      <c r="M278" s="24" t="s">
        <v>193</v>
      </c>
      <c r="N278" s="26" t="n">
        <v>7700</v>
      </c>
      <c r="O278" s="26" t="n">
        <v>7700</v>
      </c>
      <c r="P278" s="26" t="n">
        <v>0</v>
      </c>
      <c r="Q278" s="24"/>
    </row>
    <row r="279" customFormat="false" ht="15" hidden="false" customHeight="false" outlineLevel="0" collapsed="false">
      <c r="A279" s="24" t="s">
        <v>9</v>
      </c>
      <c r="B279" s="25" t="s">
        <v>4</v>
      </c>
      <c r="C279" s="24" t="s">
        <v>225</v>
      </c>
      <c r="D279" s="24" t="s">
        <v>485</v>
      </c>
      <c r="E279" s="25" t="s">
        <v>458</v>
      </c>
      <c r="F279" s="25" t="s">
        <v>143</v>
      </c>
      <c r="G279" s="26" t="n">
        <v>24300</v>
      </c>
      <c r="H279" s="26" t="n">
        <v>0</v>
      </c>
      <c r="I279" s="26" t="n">
        <v>24300</v>
      </c>
      <c r="J279" s="25" t="s">
        <v>185</v>
      </c>
      <c r="K279" s="25" t="s">
        <v>457</v>
      </c>
      <c r="L279" s="25" t="s">
        <v>456</v>
      </c>
      <c r="M279" s="24" t="s">
        <v>181</v>
      </c>
      <c r="N279" s="26" t="n">
        <v>0</v>
      </c>
      <c r="O279" s="26" t="n">
        <v>600</v>
      </c>
      <c r="P279" s="26" t="n">
        <v>600</v>
      </c>
      <c r="Q279" s="25" t="s">
        <v>182</v>
      </c>
    </row>
    <row r="280" customFormat="false" ht="15" hidden="false" customHeight="false" outlineLevel="0" collapsed="false">
      <c r="A280" s="24" t="s">
        <v>9</v>
      </c>
      <c r="B280" s="25" t="s">
        <v>4</v>
      </c>
      <c r="C280" s="24" t="s">
        <v>225</v>
      </c>
      <c r="D280" s="24" t="s">
        <v>409</v>
      </c>
      <c r="E280" s="25" t="s">
        <v>459</v>
      </c>
      <c r="F280" s="25" t="s">
        <v>134</v>
      </c>
      <c r="G280" s="26" t="n">
        <v>100400</v>
      </c>
      <c r="H280" s="26" t="n">
        <v>8800</v>
      </c>
      <c r="I280" s="26" t="n">
        <v>91600</v>
      </c>
      <c r="J280" s="25" t="s">
        <v>185</v>
      </c>
      <c r="K280" s="25" t="s">
        <v>457</v>
      </c>
      <c r="L280" s="25" t="s">
        <v>457</v>
      </c>
      <c r="M280" s="24" t="s">
        <v>193</v>
      </c>
      <c r="N280" s="26" t="n">
        <v>8800</v>
      </c>
      <c r="O280" s="26" t="n">
        <v>8800</v>
      </c>
      <c r="P280" s="26" t="n">
        <v>0</v>
      </c>
      <c r="Q280" s="24"/>
    </row>
    <row r="281" customFormat="false" ht="15" hidden="false" customHeight="false" outlineLevel="0" collapsed="false">
      <c r="A281" s="24" t="s">
        <v>9</v>
      </c>
      <c r="B281" s="25" t="s">
        <v>4</v>
      </c>
      <c r="C281" s="24" t="s">
        <v>225</v>
      </c>
      <c r="D281" s="24" t="s">
        <v>486</v>
      </c>
      <c r="E281" s="25" t="s">
        <v>487</v>
      </c>
      <c r="F281" s="25" t="s">
        <v>136</v>
      </c>
      <c r="G281" s="26" t="n">
        <v>1079500</v>
      </c>
      <c r="H281" s="26" t="n">
        <v>0</v>
      </c>
      <c r="I281" s="26" t="n">
        <v>1079500</v>
      </c>
      <c r="J281" s="25" t="s">
        <v>488</v>
      </c>
      <c r="K281" s="24"/>
      <c r="L281" s="25" t="s">
        <v>457</v>
      </c>
      <c r="M281" s="24" t="s">
        <v>181</v>
      </c>
      <c r="N281" s="26" t="n">
        <v>0</v>
      </c>
      <c r="O281" s="26" t="n">
        <v>24600</v>
      </c>
      <c r="P281" s="26" t="n">
        <v>24600</v>
      </c>
      <c r="Q281" s="25" t="s">
        <v>182</v>
      </c>
    </row>
    <row r="282" customFormat="false" ht="15" hidden="false" customHeight="false" outlineLevel="0" collapsed="false">
      <c r="A282" s="24" t="s">
        <v>9</v>
      </c>
      <c r="B282" s="25" t="s">
        <v>4</v>
      </c>
      <c r="C282" s="24" t="s">
        <v>225</v>
      </c>
      <c r="D282" s="24" t="s">
        <v>489</v>
      </c>
      <c r="E282" s="25" t="s">
        <v>211</v>
      </c>
      <c r="F282" s="25" t="s">
        <v>212</v>
      </c>
      <c r="G282" s="26" t="n">
        <v>29800</v>
      </c>
      <c r="H282" s="26" t="n">
        <v>0</v>
      </c>
      <c r="I282" s="26" t="n">
        <v>29800</v>
      </c>
      <c r="J282" s="25" t="s">
        <v>185</v>
      </c>
      <c r="K282" s="25" t="s">
        <v>457</v>
      </c>
      <c r="L282" s="25" t="s">
        <v>456</v>
      </c>
      <c r="M282" s="24" t="s">
        <v>181</v>
      </c>
      <c r="N282" s="26" t="n">
        <v>0</v>
      </c>
      <c r="O282" s="26" t="n">
        <v>700</v>
      </c>
      <c r="P282" s="26" t="n">
        <v>700</v>
      </c>
      <c r="Q282" s="25" t="s">
        <v>182</v>
      </c>
    </row>
    <row r="283" customFormat="false" ht="15" hidden="false" customHeight="false" outlineLevel="0" collapsed="false">
      <c r="A283" s="24" t="s">
        <v>9</v>
      </c>
      <c r="B283" s="25" t="s">
        <v>4</v>
      </c>
      <c r="C283" s="24" t="s">
        <v>225</v>
      </c>
      <c r="D283" s="24" t="s">
        <v>490</v>
      </c>
      <c r="E283" s="25" t="s">
        <v>281</v>
      </c>
      <c r="F283" s="25" t="s">
        <v>138</v>
      </c>
      <c r="G283" s="26" t="n">
        <v>35500</v>
      </c>
      <c r="H283" s="26" t="n">
        <v>0</v>
      </c>
      <c r="I283" s="26" t="n">
        <v>35500</v>
      </c>
      <c r="J283" s="25" t="s">
        <v>185</v>
      </c>
      <c r="K283" s="25" t="s">
        <v>457</v>
      </c>
      <c r="L283" s="25" t="s">
        <v>456</v>
      </c>
      <c r="M283" s="24" t="s">
        <v>181</v>
      </c>
      <c r="N283" s="26" t="n">
        <v>0</v>
      </c>
      <c r="O283" s="26" t="n">
        <v>800</v>
      </c>
      <c r="P283" s="26" t="n">
        <v>800</v>
      </c>
      <c r="Q283" s="25" t="s">
        <v>182</v>
      </c>
    </row>
    <row r="284" customFormat="false" ht="15" hidden="false" customHeight="false" outlineLevel="0" collapsed="false">
      <c r="A284" s="24" t="s">
        <v>9</v>
      </c>
      <c r="B284" s="25" t="s">
        <v>4</v>
      </c>
      <c r="C284" s="24" t="s">
        <v>225</v>
      </c>
      <c r="D284" s="24" t="s">
        <v>491</v>
      </c>
      <c r="E284" s="24" t="s">
        <v>209</v>
      </c>
      <c r="F284" s="25" t="s">
        <v>142</v>
      </c>
      <c r="G284" s="26" t="n">
        <v>73000</v>
      </c>
      <c r="H284" s="26" t="n">
        <v>6400</v>
      </c>
      <c r="I284" s="26" t="n">
        <v>66600</v>
      </c>
      <c r="J284" s="25" t="s">
        <v>185</v>
      </c>
      <c r="K284" s="25" t="s">
        <v>456</v>
      </c>
      <c r="L284" s="25" t="s">
        <v>456</v>
      </c>
      <c r="M284" s="24" t="s">
        <v>193</v>
      </c>
      <c r="N284" s="26" t="n">
        <v>6400</v>
      </c>
      <c r="O284" s="26" t="n">
        <v>6400</v>
      </c>
      <c r="P284" s="26" t="n">
        <v>0</v>
      </c>
      <c r="Q284" s="24"/>
    </row>
    <row r="285" customFormat="false" ht="15" hidden="false" customHeight="false" outlineLevel="0" collapsed="false">
      <c r="A285" s="24" t="s">
        <v>9</v>
      </c>
      <c r="B285" s="25" t="s">
        <v>4</v>
      </c>
      <c r="C285" s="24" t="s">
        <v>225</v>
      </c>
      <c r="D285" s="24" t="s">
        <v>492</v>
      </c>
      <c r="E285" s="25" t="s">
        <v>493</v>
      </c>
      <c r="F285" s="25" t="s">
        <v>184</v>
      </c>
      <c r="G285" s="26" t="n">
        <v>165700</v>
      </c>
      <c r="H285" s="26" t="n">
        <v>0</v>
      </c>
      <c r="I285" s="26" t="n">
        <v>165700</v>
      </c>
      <c r="J285" s="25" t="s">
        <v>185</v>
      </c>
      <c r="K285" s="25" t="s">
        <v>457</v>
      </c>
      <c r="L285" s="25" t="s">
        <v>457</v>
      </c>
      <c r="M285" s="24" t="s">
        <v>186</v>
      </c>
      <c r="N285" s="26" t="n">
        <v>0</v>
      </c>
      <c r="O285" s="26" t="n">
        <v>3800</v>
      </c>
      <c r="P285" s="26" t="n">
        <v>3800</v>
      </c>
      <c r="Q285" s="25" t="s">
        <v>187</v>
      </c>
    </row>
    <row r="286" customFormat="false" ht="15" hidden="false" customHeight="false" outlineLevel="0" collapsed="false">
      <c r="A286" s="24" t="s">
        <v>9</v>
      </c>
      <c r="B286" s="25" t="s">
        <v>4</v>
      </c>
      <c r="C286" s="24" t="s">
        <v>225</v>
      </c>
      <c r="D286" s="24" t="s">
        <v>494</v>
      </c>
      <c r="E286" s="25" t="s">
        <v>460</v>
      </c>
      <c r="F286" s="25" t="s">
        <v>184</v>
      </c>
      <c r="G286" s="26" t="n">
        <v>45600</v>
      </c>
      <c r="H286" s="26" t="n">
        <v>0</v>
      </c>
      <c r="I286" s="26" t="n">
        <v>45600</v>
      </c>
      <c r="J286" s="25" t="s">
        <v>185</v>
      </c>
      <c r="K286" s="25" t="s">
        <v>457</v>
      </c>
      <c r="L286" s="25" t="s">
        <v>457</v>
      </c>
      <c r="M286" s="24" t="s">
        <v>186</v>
      </c>
      <c r="N286" s="26" t="n">
        <v>0</v>
      </c>
      <c r="O286" s="26" t="n">
        <v>1000</v>
      </c>
      <c r="P286" s="26" t="n">
        <v>1000</v>
      </c>
      <c r="Q286" s="25" t="s">
        <v>187</v>
      </c>
    </row>
    <row r="287" customFormat="false" ht="15" hidden="false" customHeight="false" outlineLevel="0" collapsed="false">
      <c r="A287" s="24" t="s">
        <v>9</v>
      </c>
      <c r="B287" s="25" t="s">
        <v>4</v>
      </c>
      <c r="C287" s="24" t="s">
        <v>225</v>
      </c>
      <c r="D287" s="24" t="s">
        <v>495</v>
      </c>
      <c r="E287" s="25" t="s">
        <v>272</v>
      </c>
      <c r="F287" s="25" t="s">
        <v>218</v>
      </c>
      <c r="G287" s="26" t="n">
        <v>83500</v>
      </c>
      <c r="H287" s="26" t="n">
        <v>0</v>
      </c>
      <c r="I287" s="26" t="n">
        <v>83500</v>
      </c>
      <c r="J287" s="25" t="s">
        <v>185</v>
      </c>
      <c r="K287" s="25" t="s">
        <v>457</v>
      </c>
      <c r="L287" s="25" t="s">
        <v>456</v>
      </c>
      <c r="M287" s="24" t="s">
        <v>181</v>
      </c>
      <c r="N287" s="26" t="n">
        <v>0</v>
      </c>
      <c r="O287" s="26" t="n">
        <v>1900</v>
      </c>
      <c r="P287" s="26" t="n">
        <v>1900</v>
      </c>
      <c r="Q287" s="25" t="s">
        <v>182</v>
      </c>
    </row>
    <row r="288" customFormat="false" ht="15" hidden="false" customHeight="false" outlineLevel="0" collapsed="false">
      <c r="A288" s="24" t="s">
        <v>9</v>
      </c>
      <c r="B288" s="25" t="s">
        <v>4</v>
      </c>
      <c r="C288" s="24" t="s">
        <v>319</v>
      </c>
      <c r="D288" s="24" t="s">
        <v>496</v>
      </c>
      <c r="E288" s="25" t="s">
        <v>48</v>
      </c>
      <c r="F288" s="25" t="s">
        <v>218</v>
      </c>
      <c r="G288" s="26" t="n">
        <v>52300</v>
      </c>
      <c r="H288" s="26" t="n">
        <v>3500</v>
      </c>
      <c r="I288" s="26" t="n">
        <v>48800</v>
      </c>
      <c r="J288" s="25" t="s">
        <v>185</v>
      </c>
      <c r="K288" s="25" t="s">
        <v>457</v>
      </c>
      <c r="L288" s="25" t="s">
        <v>457</v>
      </c>
      <c r="M288" s="24" t="s">
        <v>193</v>
      </c>
      <c r="N288" s="26" t="n">
        <v>3500</v>
      </c>
      <c r="O288" s="26" t="n">
        <v>3500</v>
      </c>
      <c r="P288" s="26" t="n">
        <v>0</v>
      </c>
      <c r="Q288" s="24"/>
    </row>
    <row r="289" customFormat="false" ht="15" hidden="false" customHeight="false" outlineLevel="0" collapsed="false">
      <c r="A289" s="24" t="s">
        <v>9</v>
      </c>
      <c r="B289" s="25" t="s">
        <v>4</v>
      </c>
      <c r="C289" s="24" t="s">
        <v>319</v>
      </c>
      <c r="D289" s="24" t="s">
        <v>497</v>
      </c>
      <c r="E289" s="25" t="s">
        <v>211</v>
      </c>
      <c r="F289" s="25" t="s">
        <v>212</v>
      </c>
      <c r="G289" s="26" t="n">
        <v>20200</v>
      </c>
      <c r="H289" s="26" t="n">
        <v>0</v>
      </c>
      <c r="I289" s="26" t="n">
        <v>20200</v>
      </c>
      <c r="J289" s="25" t="s">
        <v>178</v>
      </c>
      <c r="K289" s="25" t="s">
        <v>179</v>
      </c>
      <c r="L289" s="25" t="s">
        <v>457</v>
      </c>
      <c r="M289" s="24" t="s">
        <v>181</v>
      </c>
      <c r="N289" s="26" t="n">
        <v>0</v>
      </c>
      <c r="O289" s="26" t="n">
        <v>400</v>
      </c>
      <c r="P289" s="26" t="n">
        <v>400</v>
      </c>
      <c r="Q289" s="25" t="s">
        <v>182</v>
      </c>
    </row>
    <row r="290" customFormat="false" ht="15" hidden="false" customHeight="false" outlineLevel="0" collapsed="false">
      <c r="A290" s="24" t="s">
        <v>9</v>
      </c>
      <c r="B290" s="25" t="s">
        <v>4</v>
      </c>
      <c r="C290" s="24" t="s">
        <v>319</v>
      </c>
      <c r="D290" s="24" t="s">
        <v>498</v>
      </c>
      <c r="E290" s="25" t="s">
        <v>272</v>
      </c>
      <c r="F290" s="25" t="s">
        <v>218</v>
      </c>
      <c r="G290" s="26" t="n">
        <v>84400</v>
      </c>
      <c r="H290" s="26" t="n">
        <v>0</v>
      </c>
      <c r="I290" s="26" t="n">
        <v>84400</v>
      </c>
      <c r="J290" s="25" t="s">
        <v>185</v>
      </c>
      <c r="K290" s="25" t="s">
        <v>456</v>
      </c>
      <c r="L290" s="25" t="s">
        <v>457</v>
      </c>
      <c r="M290" s="24" t="s">
        <v>181</v>
      </c>
      <c r="N290" s="26" t="n">
        <v>0</v>
      </c>
      <c r="O290" s="26" t="n">
        <v>1800</v>
      </c>
      <c r="P290" s="26" t="n">
        <v>1800</v>
      </c>
      <c r="Q290" s="25" t="s">
        <v>182</v>
      </c>
    </row>
    <row r="291" customFormat="false" ht="15" hidden="false" customHeight="false" outlineLevel="0" collapsed="false">
      <c r="A291" s="24" t="s">
        <v>9</v>
      </c>
      <c r="B291" s="25" t="s">
        <v>4</v>
      </c>
      <c r="C291" s="24" t="s">
        <v>319</v>
      </c>
      <c r="D291" s="24" t="s">
        <v>499</v>
      </c>
      <c r="E291" s="25" t="s">
        <v>315</v>
      </c>
      <c r="F291" s="25" t="s">
        <v>218</v>
      </c>
      <c r="G291" s="26" t="n">
        <v>51000</v>
      </c>
      <c r="H291" s="26" t="n">
        <v>3400</v>
      </c>
      <c r="I291" s="26" t="n">
        <v>47600</v>
      </c>
      <c r="J291" s="25" t="s">
        <v>185</v>
      </c>
      <c r="K291" s="25" t="s">
        <v>457</v>
      </c>
      <c r="L291" s="25" t="s">
        <v>457</v>
      </c>
      <c r="M291" s="24" t="s">
        <v>193</v>
      </c>
      <c r="N291" s="26" t="n">
        <v>3400</v>
      </c>
      <c r="O291" s="26" t="n">
        <v>3400</v>
      </c>
      <c r="P291" s="26" t="n">
        <v>0</v>
      </c>
      <c r="Q291" s="24"/>
    </row>
    <row r="292" customFormat="false" ht="15" hidden="false" customHeight="false" outlineLevel="0" collapsed="false">
      <c r="A292" s="24" t="s">
        <v>9</v>
      </c>
      <c r="B292" s="25" t="s">
        <v>4</v>
      </c>
      <c r="C292" s="24" t="s">
        <v>319</v>
      </c>
      <c r="D292" s="24" t="s">
        <v>500</v>
      </c>
      <c r="E292" s="25" t="s">
        <v>460</v>
      </c>
      <c r="F292" s="25" t="s">
        <v>184</v>
      </c>
      <c r="G292" s="26" t="n">
        <v>51500</v>
      </c>
      <c r="H292" s="26" t="n">
        <v>3500</v>
      </c>
      <c r="I292" s="26" t="n">
        <v>48000</v>
      </c>
      <c r="J292" s="25" t="s">
        <v>185</v>
      </c>
      <c r="K292" s="25" t="s">
        <v>457</v>
      </c>
      <c r="L292" s="25" t="s">
        <v>457</v>
      </c>
      <c r="M292" s="24" t="s">
        <v>193</v>
      </c>
      <c r="N292" s="26" t="n">
        <v>3500</v>
      </c>
      <c r="O292" s="26" t="n">
        <v>3500</v>
      </c>
      <c r="P292" s="26" t="n">
        <v>0</v>
      </c>
      <c r="Q292" s="24"/>
    </row>
    <row r="293" customFormat="false" ht="15" hidden="false" customHeight="false" outlineLevel="0" collapsed="false">
      <c r="A293" s="24" t="s">
        <v>9</v>
      </c>
      <c r="B293" s="25" t="s">
        <v>4</v>
      </c>
      <c r="C293" s="24" t="s">
        <v>319</v>
      </c>
      <c r="D293" s="24" t="s">
        <v>501</v>
      </c>
      <c r="E293" s="25" t="s">
        <v>188</v>
      </c>
      <c r="F293" s="25" t="s">
        <v>189</v>
      </c>
      <c r="G293" s="26" t="n">
        <v>24200</v>
      </c>
      <c r="H293" s="26" t="n">
        <v>0</v>
      </c>
      <c r="I293" s="26" t="n">
        <v>24200</v>
      </c>
      <c r="J293" s="25" t="s">
        <v>178</v>
      </c>
      <c r="K293" s="25" t="s">
        <v>179</v>
      </c>
      <c r="L293" s="25" t="s">
        <v>457</v>
      </c>
      <c r="M293" s="24" t="s">
        <v>181</v>
      </c>
      <c r="N293" s="26" t="n">
        <v>0</v>
      </c>
      <c r="O293" s="26" t="n">
        <v>500</v>
      </c>
      <c r="P293" s="26" t="n">
        <v>500</v>
      </c>
      <c r="Q293" s="25" t="s">
        <v>182</v>
      </c>
    </row>
    <row r="294" customFormat="false" ht="15" hidden="false" customHeight="false" outlineLevel="0" collapsed="false">
      <c r="A294" s="24" t="s">
        <v>9</v>
      </c>
      <c r="B294" s="25" t="s">
        <v>4</v>
      </c>
      <c r="C294" s="24" t="s">
        <v>319</v>
      </c>
      <c r="D294" s="24" t="s">
        <v>502</v>
      </c>
      <c r="E294" s="25" t="s">
        <v>199</v>
      </c>
      <c r="F294" s="25" t="s">
        <v>200</v>
      </c>
      <c r="G294" s="26" t="n">
        <v>68000</v>
      </c>
      <c r="H294" s="26" t="n">
        <v>0</v>
      </c>
      <c r="I294" s="26" t="n">
        <v>68000</v>
      </c>
      <c r="J294" s="25" t="s">
        <v>178</v>
      </c>
      <c r="K294" s="25" t="s">
        <v>179</v>
      </c>
      <c r="L294" s="25" t="s">
        <v>457</v>
      </c>
      <c r="M294" s="24" t="s">
        <v>181</v>
      </c>
      <c r="N294" s="26" t="n">
        <v>0</v>
      </c>
      <c r="O294" s="26" t="n">
        <v>1500</v>
      </c>
      <c r="P294" s="26" t="n">
        <v>1500</v>
      </c>
      <c r="Q294" s="25" t="s">
        <v>182</v>
      </c>
    </row>
    <row r="295" customFormat="false" ht="15" hidden="false" customHeight="false" outlineLevel="0" collapsed="false">
      <c r="A295" s="24" t="s">
        <v>9</v>
      </c>
      <c r="B295" s="25" t="s">
        <v>4</v>
      </c>
      <c r="C295" s="24" t="s">
        <v>319</v>
      </c>
      <c r="D295" s="24" t="s">
        <v>503</v>
      </c>
      <c r="E295" s="25" t="s">
        <v>210</v>
      </c>
      <c r="F295" s="25" t="s">
        <v>136</v>
      </c>
      <c r="G295" s="26" t="n">
        <v>247400</v>
      </c>
      <c r="H295" s="26" t="n">
        <v>16700</v>
      </c>
      <c r="I295" s="26" t="n">
        <v>230700</v>
      </c>
      <c r="J295" s="25" t="s">
        <v>185</v>
      </c>
      <c r="K295" s="25" t="s">
        <v>457</v>
      </c>
      <c r="L295" s="25" t="s">
        <v>457</v>
      </c>
      <c r="M295" s="24" t="s">
        <v>193</v>
      </c>
      <c r="N295" s="26" t="n">
        <v>16700</v>
      </c>
      <c r="O295" s="26" t="n">
        <v>16700</v>
      </c>
      <c r="P295" s="26" t="n">
        <v>0</v>
      </c>
      <c r="Q295" s="24"/>
    </row>
    <row r="296" customFormat="false" ht="15" hidden="false" customHeight="false" outlineLevel="0" collapsed="false">
      <c r="A296" s="24" t="s">
        <v>9</v>
      </c>
      <c r="B296" s="25" t="s">
        <v>4</v>
      </c>
      <c r="C296" s="24" t="s">
        <v>319</v>
      </c>
      <c r="D296" s="24" t="s">
        <v>504</v>
      </c>
      <c r="E296" s="25" t="s">
        <v>206</v>
      </c>
      <c r="F296" s="25" t="s">
        <v>137</v>
      </c>
      <c r="G296" s="26" t="n">
        <v>27700</v>
      </c>
      <c r="H296" s="26" t="n">
        <v>1900</v>
      </c>
      <c r="I296" s="26" t="n">
        <v>25800</v>
      </c>
      <c r="J296" s="25" t="s">
        <v>185</v>
      </c>
      <c r="K296" s="25" t="s">
        <v>457</v>
      </c>
      <c r="L296" s="25" t="s">
        <v>457</v>
      </c>
      <c r="M296" s="24" t="s">
        <v>193</v>
      </c>
      <c r="N296" s="26" t="n">
        <v>1900</v>
      </c>
      <c r="O296" s="26" t="n">
        <v>1900</v>
      </c>
      <c r="P296" s="26" t="n">
        <v>0</v>
      </c>
      <c r="Q296" s="24"/>
    </row>
    <row r="297" customFormat="false" ht="15" hidden="false" customHeight="false" outlineLevel="0" collapsed="false">
      <c r="A297" s="24" t="s">
        <v>9</v>
      </c>
      <c r="B297" s="25" t="s">
        <v>4</v>
      </c>
      <c r="C297" s="24" t="s">
        <v>319</v>
      </c>
      <c r="D297" s="24" t="s">
        <v>505</v>
      </c>
      <c r="E297" s="25" t="s">
        <v>195</v>
      </c>
      <c r="F297" s="25" t="s">
        <v>144</v>
      </c>
      <c r="G297" s="26" t="n">
        <v>15300</v>
      </c>
      <c r="H297" s="26" t="n">
        <v>0</v>
      </c>
      <c r="I297" s="26" t="n">
        <v>15300</v>
      </c>
      <c r="J297" s="25" t="s">
        <v>178</v>
      </c>
      <c r="K297" s="25" t="s">
        <v>179</v>
      </c>
      <c r="L297" s="25" t="s">
        <v>457</v>
      </c>
      <c r="M297" s="24" t="s">
        <v>181</v>
      </c>
      <c r="N297" s="26" t="n">
        <v>0</v>
      </c>
      <c r="O297" s="26" t="n">
        <v>300</v>
      </c>
      <c r="P297" s="26" t="n">
        <v>300</v>
      </c>
      <c r="Q297" s="25" t="s">
        <v>182</v>
      </c>
    </row>
    <row r="298" customFormat="false" ht="15" hidden="false" customHeight="false" outlineLevel="0" collapsed="false">
      <c r="A298" s="24" t="s">
        <v>9</v>
      </c>
      <c r="B298" s="25" t="s">
        <v>4</v>
      </c>
      <c r="C298" s="24" t="s">
        <v>319</v>
      </c>
      <c r="D298" s="24" t="s">
        <v>506</v>
      </c>
      <c r="E298" s="25" t="s">
        <v>461</v>
      </c>
      <c r="F298" s="25" t="s">
        <v>184</v>
      </c>
      <c r="G298" s="26" t="n">
        <v>192900</v>
      </c>
      <c r="H298" s="26" t="n">
        <v>0</v>
      </c>
      <c r="I298" s="26" t="n">
        <v>192900</v>
      </c>
      <c r="J298" s="25" t="s">
        <v>185</v>
      </c>
      <c r="K298" s="25" t="s">
        <v>456</v>
      </c>
      <c r="L298" s="25" t="s">
        <v>457</v>
      </c>
      <c r="M298" s="24" t="s">
        <v>181</v>
      </c>
      <c r="N298" s="26" t="n">
        <v>0</v>
      </c>
      <c r="O298" s="26" t="n">
        <v>4200</v>
      </c>
      <c r="P298" s="26" t="n">
        <v>4200</v>
      </c>
      <c r="Q298" s="25" t="s">
        <v>182</v>
      </c>
    </row>
    <row r="299" customFormat="false" ht="15" hidden="false" customHeight="false" outlineLevel="0" collapsed="false">
      <c r="A299" s="24" t="s">
        <v>9</v>
      </c>
      <c r="B299" s="25" t="s">
        <v>4</v>
      </c>
      <c r="C299" s="24" t="s">
        <v>319</v>
      </c>
      <c r="D299" s="24" t="s">
        <v>507</v>
      </c>
      <c r="E299" s="25" t="s">
        <v>219</v>
      </c>
      <c r="F299" s="25" t="s">
        <v>137</v>
      </c>
      <c r="G299" s="26" t="n">
        <v>30400</v>
      </c>
      <c r="H299" s="26" t="n">
        <v>0</v>
      </c>
      <c r="I299" s="26" t="n">
        <v>30400</v>
      </c>
      <c r="J299" s="25" t="s">
        <v>185</v>
      </c>
      <c r="K299" s="25" t="s">
        <v>457</v>
      </c>
      <c r="L299" s="25" t="s">
        <v>457</v>
      </c>
      <c r="M299" s="24" t="s">
        <v>186</v>
      </c>
      <c r="N299" s="26" t="n">
        <v>0</v>
      </c>
      <c r="O299" s="26" t="n">
        <v>700</v>
      </c>
      <c r="P299" s="26" t="n">
        <v>700</v>
      </c>
      <c r="Q299" s="25" t="s">
        <v>187</v>
      </c>
    </row>
    <row r="300" customFormat="false" ht="15" hidden="false" customHeight="false" outlineLevel="0" collapsed="false">
      <c r="A300" s="24" t="s">
        <v>9</v>
      </c>
      <c r="B300" s="25" t="s">
        <v>4</v>
      </c>
      <c r="C300" s="24" t="s">
        <v>319</v>
      </c>
      <c r="D300" s="24" t="s">
        <v>508</v>
      </c>
      <c r="E300" s="25" t="s">
        <v>387</v>
      </c>
      <c r="F300" s="25" t="s">
        <v>146</v>
      </c>
      <c r="G300" s="26" t="n">
        <v>138800</v>
      </c>
      <c r="H300" s="26" t="n">
        <v>0</v>
      </c>
      <c r="I300" s="26" t="n">
        <v>138800</v>
      </c>
      <c r="J300" s="25" t="s">
        <v>185</v>
      </c>
      <c r="K300" s="25" t="s">
        <v>456</v>
      </c>
      <c r="L300" s="25" t="s">
        <v>457</v>
      </c>
      <c r="M300" s="24" t="s">
        <v>181</v>
      </c>
      <c r="N300" s="26" t="n">
        <v>0</v>
      </c>
      <c r="O300" s="26" t="n">
        <v>3000</v>
      </c>
      <c r="P300" s="26" t="n">
        <v>3000</v>
      </c>
      <c r="Q300" s="25" t="s">
        <v>182</v>
      </c>
    </row>
    <row r="301" customFormat="false" ht="15" hidden="false" customHeight="false" outlineLevel="0" collapsed="false">
      <c r="A301" s="24" t="s">
        <v>9</v>
      </c>
      <c r="B301" s="25" t="s">
        <v>4</v>
      </c>
      <c r="C301" s="24" t="s">
        <v>319</v>
      </c>
      <c r="D301" s="24" t="s">
        <v>509</v>
      </c>
      <c r="E301" s="25" t="s">
        <v>493</v>
      </c>
      <c r="F301" s="25" t="s">
        <v>184</v>
      </c>
      <c r="G301" s="26" t="n">
        <v>178200</v>
      </c>
      <c r="H301" s="26" t="n">
        <v>0</v>
      </c>
      <c r="I301" s="26" t="n">
        <v>178200</v>
      </c>
      <c r="J301" s="25" t="s">
        <v>185</v>
      </c>
      <c r="K301" s="25" t="s">
        <v>456</v>
      </c>
      <c r="L301" s="25" t="s">
        <v>457</v>
      </c>
      <c r="M301" s="24" t="s">
        <v>181</v>
      </c>
      <c r="N301" s="26" t="n">
        <v>0</v>
      </c>
      <c r="O301" s="26" t="n">
        <v>3900</v>
      </c>
      <c r="P301" s="26" t="n">
        <v>3900</v>
      </c>
      <c r="Q301" s="25" t="s">
        <v>182</v>
      </c>
    </row>
    <row r="302" customFormat="false" ht="15" hidden="false" customHeight="false" outlineLevel="0" collapsed="false">
      <c r="A302" s="24" t="s">
        <v>9</v>
      </c>
      <c r="B302" s="25" t="s">
        <v>4</v>
      </c>
      <c r="C302" s="24" t="s">
        <v>319</v>
      </c>
      <c r="D302" s="24" t="s">
        <v>510</v>
      </c>
      <c r="E302" s="25" t="s">
        <v>202</v>
      </c>
      <c r="F302" s="25" t="s">
        <v>144</v>
      </c>
      <c r="G302" s="26" t="n">
        <v>14700</v>
      </c>
      <c r="H302" s="26" t="n">
        <v>0</v>
      </c>
      <c r="I302" s="26" t="n">
        <v>14700</v>
      </c>
      <c r="J302" s="25" t="s">
        <v>185</v>
      </c>
      <c r="K302" s="25" t="s">
        <v>457</v>
      </c>
      <c r="L302" s="25" t="s">
        <v>457</v>
      </c>
      <c r="M302" s="24" t="s">
        <v>186</v>
      </c>
      <c r="N302" s="26" t="n">
        <v>0</v>
      </c>
      <c r="O302" s="26" t="n">
        <v>300</v>
      </c>
      <c r="P302" s="26" t="n">
        <v>300</v>
      </c>
      <c r="Q302" s="25" t="s">
        <v>187</v>
      </c>
    </row>
    <row r="303" customFormat="false" ht="15" hidden="false" customHeight="false" outlineLevel="0" collapsed="false">
      <c r="A303" s="24" t="s">
        <v>9</v>
      </c>
      <c r="B303" s="25" t="s">
        <v>4</v>
      </c>
      <c r="C303" s="24" t="s">
        <v>319</v>
      </c>
      <c r="D303" s="24" t="s">
        <v>511</v>
      </c>
      <c r="E303" s="25" t="s">
        <v>460</v>
      </c>
      <c r="F303" s="25" t="s">
        <v>184</v>
      </c>
      <c r="G303" s="26" t="n">
        <v>140300</v>
      </c>
      <c r="H303" s="26" t="n">
        <v>0</v>
      </c>
      <c r="I303" s="26" t="n">
        <v>140300</v>
      </c>
      <c r="J303" s="25" t="s">
        <v>185</v>
      </c>
      <c r="K303" s="25" t="s">
        <v>456</v>
      </c>
      <c r="L303" s="25" t="s">
        <v>457</v>
      </c>
      <c r="M303" s="24" t="s">
        <v>181</v>
      </c>
      <c r="N303" s="26" t="n">
        <v>0</v>
      </c>
      <c r="O303" s="26" t="n">
        <v>3100</v>
      </c>
      <c r="P303" s="26" t="n">
        <v>3100</v>
      </c>
      <c r="Q303" s="25" t="s">
        <v>182</v>
      </c>
    </row>
    <row r="304" customFormat="false" ht="15" hidden="false" customHeight="false" outlineLevel="0" collapsed="false">
      <c r="A304" s="24" t="s">
        <v>9</v>
      </c>
      <c r="B304" s="25" t="s">
        <v>4</v>
      </c>
      <c r="C304" s="24" t="s">
        <v>319</v>
      </c>
      <c r="D304" s="24" t="s">
        <v>512</v>
      </c>
      <c r="E304" s="25" t="s">
        <v>222</v>
      </c>
      <c r="F304" s="25" t="s">
        <v>137</v>
      </c>
      <c r="G304" s="26" t="n">
        <v>39500</v>
      </c>
      <c r="H304" s="26" t="n">
        <v>0</v>
      </c>
      <c r="I304" s="26" t="n">
        <v>39500</v>
      </c>
      <c r="J304" s="25" t="s">
        <v>185</v>
      </c>
      <c r="K304" s="25" t="s">
        <v>457</v>
      </c>
      <c r="L304" s="25" t="s">
        <v>457</v>
      </c>
      <c r="M304" s="24" t="s">
        <v>186</v>
      </c>
      <c r="N304" s="26" t="n">
        <v>0</v>
      </c>
      <c r="O304" s="26" t="n">
        <v>900</v>
      </c>
      <c r="P304" s="26" t="n">
        <v>900</v>
      </c>
      <c r="Q304" s="25" t="s">
        <v>187</v>
      </c>
    </row>
    <row r="305" customFormat="false" ht="15" hidden="false" customHeight="false" outlineLevel="0" collapsed="false">
      <c r="A305" s="24" t="s">
        <v>9</v>
      </c>
      <c r="B305" s="25" t="s">
        <v>4</v>
      </c>
      <c r="C305" s="24" t="s">
        <v>319</v>
      </c>
      <c r="D305" s="24" t="s">
        <v>513</v>
      </c>
      <c r="E305" s="25" t="s">
        <v>216</v>
      </c>
      <c r="F305" s="25" t="s">
        <v>144</v>
      </c>
      <c r="G305" s="26" t="n">
        <v>22400</v>
      </c>
      <c r="H305" s="26" t="n">
        <v>0</v>
      </c>
      <c r="I305" s="26" t="n">
        <v>22400</v>
      </c>
      <c r="J305" s="25" t="s">
        <v>185</v>
      </c>
      <c r="K305" s="25" t="s">
        <v>457</v>
      </c>
      <c r="L305" s="25" t="s">
        <v>457</v>
      </c>
      <c r="M305" s="24" t="s">
        <v>186</v>
      </c>
      <c r="N305" s="26" t="n">
        <v>0</v>
      </c>
      <c r="O305" s="26" t="n">
        <v>500</v>
      </c>
      <c r="P305" s="26" t="n">
        <v>500</v>
      </c>
      <c r="Q305" s="25" t="s">
        <v>187</v>
      </c>
    </row>
    <row r="306" customFormat="false" ht="15" hidden="false" customHeight="false" outlineLevel="0" collapsed="false">
      <c r="A306" s="24" t="s">
        <v>9</v>
      </c>
      <c r="B306" s="25" t="s">
        <v>4</v>
      </c>
      <c r="C306" s="24" t="s">
        <v>319</v>
      </c>
      <c r="D306" s="24" t="s">
        <v>514</v>
      </c>
      <c r="E306" s="25" t="s">
        <v>230</v>
      </c>
      <c r="F306" s="25" t="s">
        <v>139</v>
      </c>
      <c r="G306" s="26" t="n">
        <v>218400</v>
      </c>
      <c r="H306" s="26" t="n">
        <v>14700</v>
      </c>
      <c r="I306" s="26" t="n">
        <v>203700</v>
      </c>
      <c r="J306" s="25" t="s">
        <v>185</v>
      </c>
      <c r="K306" s="25" t="s">
        <v>457</v>
      </c>
      <c r="L306" s="25" t="s">
        <v>457</v>
      </c>
      <c r="M306" s="24" t="s">
        <v>193</v>
      </c>
      <c r="N306" s="26" t="n">
        <v>14700</v>
      </c>
      <c r="O306" s="26" t="n">
        <v>14700</v>
      </c>
      <c r="P306" s="26" t="n">
        <v>0</v>
      </c>
      <c r="Q306" s="24"/>
    </row>
    <row r="307" customFormat="false" ht="15" hidden="false" customHeight="false" outlineLevel="0" collapsed="false">
      <c r="A307" s="24" t="s">
        <v>9</v>
      </c>
      <c r="B307" s="25" t="s">
        <v>4</v>
      </c>
      <c r="C307" s="24" t="s">
        <v>319</v>
      </c>
      <c r="D307" s="24" t="s">
        <v>515</v>
      </c>
      <c r="E307" s="25" t="s">
        <v>462</v>
      </c>
      <c r="F307" s="25" t="s">
        <v>218</v>
      </c>
      <c r="G307" s="26" t="n">
        <v>75900</v>
      </c>
      <c r="H307" s="26" t="n">
        <v>0</v>
      </c>
      <c r="I307" s="26" t="n">
        <v>75900</v>
      </c>
      <c r="J307" s="25" t="s">
        <v>185</v>
      </c>
      <c r="K307" s="25" t="s">
        <v>457</v>
      </c>
      <c r="L307" s="25" t="s">
        <v>457</v>
      </c>
      <c r="M307" s="24" t="s">
        <v>186</v>
      </c>
      <c r="N307" s="26" t="n">
        <v>0</v>
      </c>
      <c r="O307" s="26" t="n">
        <v>1700</v>
      </c>
      <c r="P307" s="26" t="n">
        <v>1700</v>
      </c>
      <c r="Q307" s="25" t="s">
        <v>187</v>
      </c>
    </row>
    <row r="308" customFormat="false" ht="15" hidden="false" customHeight="false" outlineLevel="0" collapsed="false">
      <c r="A308" s="24" t="s">
        <v>9</v>
      </c>
      <c r="B308" s="25" t="s">
        <v>4</v>
      </c>
      <c r="C308" s="24" t="s">
        <v>319</v>
      </c>
      <c r="D308" s="24" t="s">
        <v>516</v>
      </c>
      <c r="E308" s="25" t="s">
        <v>239</v>
      </c>
      <c r="F308" s="25" t="s">
        <v>151</v>
      </c>
      <c r="G308" s="26" t="n">
        <v>89200</v>
      </c>
      <c r="H308" s="26" t="n">
        <v>0</v>
      </c>
      <c r="I308" s="26" t="n">
        <v>89200</v>
      </c>
      <c r="J308" s="25" t="s">
        <v>185</v>
      </c>
      <c r="K308" s="25" t="s">
        <v>457</v>
      </c>
      <c r="L308" s="25" t="s">
        <v>457</v>
      </c>
      <c r="M308" s="24" t="s">
        <v>186</v>
      </c>
      <c r="N308" s="26" t="n">
        <v>0</v>
      </c>
      <c r="O308" s="26" t="n">
        <v>1900</v>
      </c>
      <c r="P308" s="26" t="n">
        <v>1900</v>
      </c>
      <c r="Q308" s="25" t="s">
        <v>187</v>
      </c>
    </row>
    <row r="309" customFormat="false" ht="15" hidden="false" customHeight="false" outlineLevel="0" collapsed="false">
      <c r="A309" s="24" t="s">
        <v>9</v>
      </c>
      <c r="B309" s="25" t="s">
        <v>4</v>
      </c>
      <c r="C309" s="24" t="s">
        <v>319</v>
      </c>
      <c r="D309" s="24" t="s">
        <v>517</v>
      </c>
      <c r="E309" s="25" t="s">
        <v>214</v>
      </c>
      <c r="F309" s="25" t="s">
        <v>138</v>
      </c>
      <c r="G309" s="26" t="n">
        <v>35600</v>
      </c>
      <c r="H309" s="26" t="n">
        <v>0</v>
      </c>
      <c r="I309" s="26" t="n">
        <v>35600</v>
      </c>
      <c r="J309" s="25" t="s">
        <v>185</v>
      </c>
      <c r="K309" s="25" t="s">
        <v>457</v>
      </c>
      <c r="L309" s="25" t="s">
        <v>457</v>
      </c>
      <c r="M309" s="24" t="s">
        <v>186</v>
      </c>
      <c r="N309" s="26" t="n">
        <v>0</v>
      </c>
      <c r="O309" s="26" t="n">
        <v>800</v>
      </c>
      <c r="P309" s="26" t="n">
        <v>800</v>
      </c>
      <c r="Q309" s="25" t="s">
        <v>187</v>
      </c>
    </row>
    <row r="310" customFormat="false" ht="15" hidden="false" customHeight="false" outlineLevel="0" collapsed="false">
      <c r="A310" s="24" t="s">
        <v>9</v>
      </c>
      <c r="B310" s="25" t="s">
        <v>4</v>
      </c>
      <c r="C310" s="24" t="s">
        <v>319</v>
      </c>
      <c r="D310" s="24" t="s">
        <v>518</v>
      </c>
      <c r="E310" s="24" t="s">
        <v>207</v>
      </c>
      <c r="F310" s="25" t="s">
        <v>154</v>
      </c>
      <c r="G310" s="26" t="n">
        <v>26500</v>
      </c>
      <c r="H310" s="26" t="n">
        <v>0</v>
      </c>
      <c r="I310" s="26" t="n">
        <v>26500</v>
      </c>
      <c r="J310" s="25" t="s">
        <v>185</v>
      </c>
      <c r="K310" s="25" t="s">
        <v>457</v>
      </c>
      <c r="L310" s="25" t="s">
        <v>457</v>
      </c>
      <c r="M310" s="24" t="s">
        <v>186</v>
      </c>
      <c r="N310" s="26" t="n">
        <v>0</v>
      </c>
      <c r="O310" s="26" t="n">
        <v>600</v>
      </c>
      <c r="P310" s="26" t="n">
        <v>600</v>
      </c>
      <c r="Q310" s="25" t="s">
        <v>187</v>
      </c>
    </row>
    <row r="311" customFormat="false" ht="15" hidden="false" customHeight="false" outlineLevel="0" collapsed="false">
      <c r="A311" s="24" t="s">
        <v>9</v>
      </c>
      <c r="B311" s="25" t="s">
        <v>4</v>
      </c>
      <c r="C311" s="24" t="s">
        <v>319</v>
      </c>
      <c r="D311" s="24" t="s">
        <v>519</v>
      </c>
      <c r="E311" s="24" t="s">
        <v>358</v>
      </c>
      <c r="F311" s="25" t="s">
        <v>135</v>
      </c>
      <c r="G311" s="26" t="n">
        <v>59200</v>
      </c>
      <c r="H311" s="26" t="n">
        <v>0</v>
      </c>
      <c r="I311" s="26" t="n">
        <v>59200</v>
      </c>
      <c r="J311" s="25" t="s">
        <v>185</v>
      </c>
      <c r="K311" s="25" t="s">
        <v>457</v>
      </c>
      <c r="L311" s="25" t="s">
        <v>457</v>
      </c>
      <c r="M311" s="24" t="s">
        <v>186</v>
      </c>
      <c r="N311" s="26" t="n">
        <v>0</v>
      </c>
      <c r="O311" s="26" t="n">
        <v>1300</v>
      </c>
      <c r="P311" s="26" t="n">
        <v>1300</v>
      </c>
      <c r="Q311" s="25" t="s">
        <v>187</v>
      </c>
    </row>
    <row r="312" customFormat="false" ht="15" hidden="false" customHeight="false" outlineLevel="0" collapsed="false">
      <c r="A312" s="24" t="s">
        <v>9</v>
      </c>
      <c r="B312" s="25" t="s">
        <v>4</v>
      </c>
      <c r="C312" s="24" t="s">
        <v>319</v>
      </c>
      <c r="D312" s="24" t="s">
        <v>520</v>
      </c>
      <c r="E312" s="25" t="s">
        <v>250</v>
      </c>
      <c r="F312" s="25" t="s">
        <v>251</v>
      </c>
      <c r="G312" s="26" t="n">
        <v>212800</v>
      </c>
      <c r="H312" s="26" t="n">
        <v>0</v>
      </c>
      <c r="I312" s="26" t="n">
        <v>212800</v>
      </c>
      <c r="J312" s="25" t="s">
        <v>185</v>
      </c>
      <c r="K312" s="25" t="s">
        <v>456</v>
      </c>
      <c r="L312" s="25" t="s">
        <v>457</v>
      </c>
      <c r="M312" s="24" t="s">
        <v>181</v>
      </c>
      <c r="N312" s="26" t="n">
        <v>0</v>
      </c>
      <c r="O312" s="26" t="n">
        <v>4800</v>
      </c>
      <c r="P312" s="26" t="n">
        <v>4800</v>
      </c>
      <c r="Q312" s="25" t="s">
        <v>182</v>
      </c>
    </row>
    <row r="313" customFormat="false" ht="15" hidden="false" customHeight="false" outlineLevel="0" collapsed="false">
      <c r="A313" s="24" t="s">
        <v>9</v>
      </c>
      <c r="B313" s="25" t="s">
        <v>4</v>
      </c>
      <c r="C313" s="24" t="s">
        <v>319</v>
      </c>
      <c r="D313" s="24" t="s">
        <v>521</v>
      </c>
      <c r="E313" s="24" t="s">
        <v>361</v>
      </c>
      <c r="F313" s="25" t="s">
        <v>135</v>
      </c>
      <c r="G313" s="26" t="n">
        <v>67200</v>
      </c>
      <c r="H313" s="26" t="n">
        <v>0</v>
      </c>
      <c r="I313" s="26" t="n">
        <v>67200</v>
      </c>
      <c r="J313" s="25" t="s">
        <v>185</v>
      </c>
      <c r="K313" s="25" t="s">
        <v>457</v>
      </c>
      <c r="L313" s="25" t="s">
        <v>457</v>
      </c>
      <c r="M313" s="24" t="s">
        <v>186</v>
      </c>
      <c r="N313" s="26" t="n">
        <v>0</v>
      </c>
      <c r="O313" s="26" t="n">
        <v>1500</v>
      </c>
      <c r="P313" s="26" t="n">
        <v>1500</v>
      </c>
      <c r="Q313" s="25" t="s">
        <v>187</v>
      </c>
    </row>
    <row r="314" customFormat="false" ht="15" hidden="false" customHeight="false" outlineLevel="0" collapsed="false">
      <c r="A314" s="24" t="s">
        <v>9</v>
      </c>
      <c r="B314" s="25" t="s">
        <v>4</v>
      </c>
      <c r="C314" s="24" t="s">
        <v>319</v>
      </c>
      <c r="D314" s="24" t="s">
        <v>522</v>
      </c>
      <c r="E314" s="25" t="s">
        <v>352</v>
      </c>
      <c r="F314" s="25" t="s">
        <v>150</v>
      </c>
      <c r="G314" s="26" t="n">
        <v>99800</v>
      </c>
      <c r="H314" s="26" t="n">
        <v>0</v>
      </c>
      <c r="I314" s="26" t="n">
        <v>99800</v>
      </c>
      <c r="J314" s="25" t="s">
        <v>185</v>
      </c>
      <c r="K314" s="25" t="s">
        <v>456</v>
      </c>
      <c r="L314" s="25" t="s">
        <v>457</v>
      </c>
      <c r="M314" s="24" t="s">
        <v>181</v>
      </c>
      <c r="N314" s="26" t="n">
        <v>0</v>
      </c>
      <c r="O314" s="26" t="n">
        <v>2200</v>
      </c>
      <c r="P314" s="26" t="n">
        <v>2200</v>
      </c>
      <c r="Q314" s="25" t="s">
        <v>182</v>
      </c>
    </row>
    <row r="315" customFormat="false" ht="15" hidden="false" customHeight="false" outlineLevel="0" collapsed="false">
      <c r="A315" s="24" t="s">
        <v>9</v>
      </c>
      <c r="B315" s="25" t="s">
        <v>4</v>
      </c>
      <c r="C315" s="24" t="s">
        <v>319</v>
      </c>
      <c r="D315" s="24" t="s">
        <v>523</v>
      </c>
      <c r="E315" s="25" t="s">
        <v>201</v>
      </c>
      <c r="F315" s="25" t="s">
        <v>134</v>
      </c>
      <c r="G315" s="26" t="n">
        <v>97000</v>
      </c>
      <c r="H315" s="26" t="n">
        <v>0</v>
      </c>
      <c r="I315" s="26" t="n">
        <v>97000</v>
      </c>
      <c r="J315" s="25" t="s">
        <v>185</v>
      </c>
      <c r="K315" s="25" t="s">
        <v>457</v>
      </c>
      <c r="L315" s="25" t="s">
        <v>457</v>
      </c>
      <c r="M315" s="24" t="s">
        <v>186</v>
      </c>
      <c r="N315" s="26" t="n">
        <v>0</v>
      </c>
      <c r="O315" s="26" t="n">
        <v>2100</v>
      </c>
      <c r="P315" s="26" t="n">
        <v>2100</v>
      </c>
      <c r="Q315" s="25" t="s">
        <v>187</v>
      </c>
    </row>
    <row r="316" customFormat="false" ht="15" hidden="false" customHeight="false" outlineLevel="0" collapsed="false">
      <c r="A316" s="24" t="s">
        <v>9</v>
      </c>
      <c r="B316" s="25" t="s">
        <v>4</v>
      </c>
      <c r="C316" s="24" t="s">
        <v>319</v>
      </c>
      <c r="D316" s="24" t="s">
        <v>524</v>
      </c>
      <c r="E316" s="25" t="s">
        <v>48</v>
      </c>
      <c r="F316" s="25" t="s">
        <v>218</v>
      </c>
      <c r="G316" s="26" t="n">
        <v>83500</v>
      </c>
      <c r="H316" s="26" t="n">
        <v>0</v>
      </c>
      <c r="I316" s="26" t="n">
        <v>83500</v>
      </c>
      <c r="J316" s="25" t="s">
        <v>185</v>
      </c>
      <c r="K316" s="25" t="s">
        <v>457</v>
      </c>
      <c r="L316" s="25" t="s">
        <v>457</v>
      </c>
      <c r="M316" s="24" t="s">
        <v>186</v>
      </c>
      <c r="N316" s="26" t="n">
        <v>0</v>
      </c>
      <c r="O316" s="26" t="n">
        <v>1800</v>
      </c>
      <c r="P316" s="26" t="n">
        <v>1800</v>
      </c>
      <c r="Q316" s="25" t="s">
        <v>187</v>
      </c>
    </row>
    <row r="317" customFormat="false" ht="15" hidden="false" customHeight="false" outlineLevel="0" collapsed="false">
      <c r="A317" s="24" t="s">
        <v>9</v>
      </c>
      <c r="B317" s="25" t="s">
        <v>4</v>
      </c>
      <c r="C317" s="24" t="s">
        <v>319</v>
      </c>
      <c r="D317" s="24" t="s">
        <v>525</v>
      </c>
      <c r="E317" s="25" t="s">
        <v>459</v>
      </c>
      <c r="F317" s="25" t="s">
        <v>134</v>
      </c>
      <c r="G317" s="26" t="n">
        <v>73700</v>
      </c>
      <c r="H317" s="26" t="n">
        <v>0</v>
      </c>
      <c r="I317" s="26" t="n">
        <v>73700</v>
      </c>
      <c r="J317" s="25" t="s">
        <v>178</v>
      </c>
      <c r="K317" s="25" t="s">
        <v>179</v>
      </c>
      <c r="L317" s="25" t="s">
        <v>457</v>
      </c>
      <c r="M317" s="24" t="s">
        <v>181</v>
      </c>
      <c r="N317" s="26" t="n">
        <v>0</v>
      </c>
      <c r="O317" s="26" t="n">
        <v>1600</v>
      </c>
      <c r="P317" s="26" t="n">
        <v>1600</v>
      </c>
      <c r="Q317" s="25" t="s">
        <v>182</v>
      </c>
    </row>
    <row r="318" customFormat="false" ht="15" hidden="false" customHeight="false" outlineLevel="0" collapsed="false">
      <c r="A318" s="24" t="s">
        <v>9</v>
      </c>
      <c r="B318" s="25" t="s">
        <v>4</v>
      </c>
      <c r="C318" s="24" t="s">
        <v>319</v>
      </c>
      <c r="D318" s="24" t="s">
        <v>526</v>
      </c>
      <c r="E318" s="25" t="s">
        <v>458</v>
      </c>
      <c r="F318" s="25" t="s">
        <v>143</v>
      </c>
      <c r="G318" s="26" t="n">
        <v>47400</v>
      </c>
      <c r="H318" s="26" t="n">
        <v>0</v>
      </c>
      <c r="I318" s="26" t="n">
        <v>47400</v>
      </c>
      <c r="J318" s="25" t="s">
        <v>178</v>
      </c>
      <c r="K318" s="25" t="s">
        <v>179</v>
      </c>
      <c r="L318" s="25" t="s">
        <v>457</v>
      </c>
      <c r="M318" s="24" t="s">
        <v>181</v>
      </c>
      <c r="N318" s="26" t="n">
        <v>0</v>
      </c>
      <c r="O318" s="26" t="n">
        <v>1000</v>
      </c>
      <c r="P318" s="26" t="n">
        <v>1000</v>
      </c>
      <c r="Q318" s="25" t="s">
        <v>182</v>
      </c>
    </row>
    <row r="319" customFormat="false" ht="15" hidden="false" customHeight="false" outlineLevel="0" collapsed="false">
      <c r="A319" s="24" t="s">
        <v>9</v>
      </c>
      <c r="B319" s="25" t="s">
        <v>4</v>
      </c>
      <c r="C319" s="24" t="s">
        <v>319</v>
      </c>
      <c r="D319" s="24" t="s">
        <v>527</v>
      </c>
      <c r="E319" s="25" t="s">
        <v>281</v>
      </c>
      <c r="F319" s="25" t="s">
        <v>138</v>
      </c>
      <c r="G319" s="26" t="n">
        <v>38800</v>
      </c>
      <c r="H319" s="26" t="n">
        <v>0</v>
      </c>
      <c r="I319" s="26" t="n">
        <v>38800</v>
      </c>
      <c r="J319" s="25" t="s">
        <v>178</v>
      </c>
      <c r="K319" s="25" t="s">
        <v>179</v>
      </c>
      <c r="L319" s="25" t="s">
        <v>457</v>
      </c>
      <c r="M319" s="24" t="s">
        <v>181</v>
      </c>
      <c r="N319" s="26" t="n">
        <v>0</v>
      </c>
      <c r="O319" s="26" t="n">
        <v>800</v>
      </c>
      <c r="P319" s="26" t="n">
        <v>800</v>
      </c>
      <c r="Q319" s="25" t="s">
        <v>182</v>
      </c>
    </row>
    <row r="320" customFormat="false" ht="15" hidden="false" customHeight="false" outlineLevel="0" collapsed="false">
      <c r="A320" s="24" t="s">
        <v>9</v>
      </c>
      <c r="B320" s="25" t="s">
        <v>4</v>
      </c>
      <c r="C320" s="24" t="s">
        <v>319</v>
      </c>
      <c r="D320" s="24" t="s">
        <v>528</v>
      </c>
      <c r="E320" s="25" t="s">
        <v>177</v>
      </c>
      <c r="F320" s="25" t="s">
        <v>140</v>
      </c>
      <c r="G320" s="26" t="n">
        <v>22100</v>
      </c>
      <c r="H320" s="26" t="n">
        <v>0</v>
      </c>
      <c r="I320" s="26" t="n">
        <v>22100</v>
      </c>
      <c r="J320" s="25" t="s">
        <v>185</v>
      </c>
      <c r="K320" s="25" t="s">
        <v>457</v>
      </c>
      <c r="L320" s="25" t="s">
        <v>457</v>
      </c>
      <c r="M320" s="24" t="s">
        <v>186</v>
      </c>
      <c r="N320" s="26" t="n">
        <v>0</v>
      </c>
      <c r="O320" s="26" t="n">
        <v>500</v>
      </c>
      <c r="P320" s="26" t="n">
        <v>500</v>
      </c>
      <c r="Q320" s="25" t="s">
        <v>187</v>
      </c>
    </row>
    <row r="321" customFormat="false" ht="15" hidden="false" customHeight="false" outlineLevel="0" collapsed="false">
      <c r="A321" s="24" t="s">
        <v>9</v>
      </c>
      <c r="B321" s="25" t="s">
        <v>4</v>
      </c>
      <c r="C321" s="24" t="s">
        <v>319</v>
      </c>
      <c r="D321" s="24" t="s">
        <v>529</v>
      </c>
      <c r="E321" s="24" t="s">
        <v>331</v>
      </c>
      <c r="F321" s="25" t="s">
        <v>50</v>
      </c>
      <c r="G321" s="26" t="n">
        <v>19500</v>
      </c>
      <c r="H321" s="26" t="n">
        <v>0</v>
      </c>
      <c r="I321" s="26" t="n">
        <v>19500</v>
      </c>
      <c r="J321" s="25" t="s">
        <v>178</v>
      </c>
      <c r="K321" s="25" t="s">
        <v>179</v>
      </c>
      <c r="L321" s="25" t="s">
        <v>457</v>
      </c>
      <c r="M321" s="24" t="s">
        <v>181</v>
      </c>
      <c r="N321" s="26" t="n">
        <v>0</v>
      </c>
      <c r="O321" s="26" t="n">
        <v>400</v>
      </c>
      <c r="P321" s="26" t="n">
        <v>400</v>
      </c>
      <c r="Q321" s="25" t="s">
        <v>182</v>
      </c>
    </row>
    <row r="322" customFormat="false" ht="15" hidden="false" customHeight="false" outlineLevel="0" collapsed="false">
      <c r="A322" s="24" t="s">
        <v>9</v>
      </c>
      <c r="B322" s="25" t="s">
        <v>4</v>
      </c>
      <c r="C322" s="24" t="s">
        <v>319</v>
      </c>
      <c r="D322" s="24" t="s">
        <v>530</v>
      </c>
      <c r="E322" s="25" t="s">
        <v>192</v>
      </c>
      <c r="F322" s="25" t="s">
        <v>147</v>
      </c>
      <c r="G322" s="26" t="n">
        <v>28600</v>
      </c>
      <c r="H322" s="26" t="n">
        <v>0</v>
      </c>
      <c r="I322" s="26" t="n">
        <v>28600</v>
      </c>
      <c r="J322" s="25" t="s">
        <v>185</v>
      </c>
      <c r="K322" s="25" t="s">
        <v>456</v>
      </c>
      <c r="L322" s="25" t="s">
        <v>457</v>
      </c>
      <c r="M322" s="24" t="s">
        <v>181</v>
      </c>
      <c r="N322" s="26" t="n">
        <v>0</v>
      </c>
      <c r="O322" s="26" t="n">
        <v>600</v>
      </c>
      <c r="P322" s="26" t="n">
        <v>600</v>
      </c>
      <c r="Q322" s="25" t="s">
        <v>182</v>
      </c>
    </row>
    <row r="323" customFormat="false" ht="15" hidden="false" customHeight="false" outlineLevel="0" collapsed="false">
      <c r="A323" s="24" t="s">
        <v>9</v>
      </c>
      <c r="B323" s="25" t="s">
        <v>4</v>
      </c>
      <c r="C323" s="24" t="s">
        <v>319</v>
      </c>
      <c r="D323" s="24" t="s">
        <v>531</v>
      </c>
      <c r="E323" s="24" t="s">
        <v>209</v>
      </c>
      <c r="F323" s="25" t="s">
        <v>142</v>
      </c>
      <c r="G323" s="26" t="n">
        <v>64800</v>
      </c>
      <c r="H323" s="26" t="n">
        <v>0</v>
      </c>
      <c r="I323" s="26" t="n">
        <v>64800</v>
      </c>
      <c r="J323" s="25" t="s">
        <v>185</v>
      </c>
      <c r="K323" s="25" t="s">
        <v>457</v>
      </c>
      <c r="L323" s="25" t="s">
        <v>457</v>
      </c>
      <c r="M323" s="24" t="s">
        <v>186</v>
      </c>
      <c r="N323" s="26" t="n">
        <v>0</v>
      </c>
      <c r="O323" s="26" t="n">
        <v>1400</v>
      </c>
      <c r="P323" s="26" t="n">
        <v>1400</v>
      </c>
      <c r="Q323" s="25" t="s">
        <v>187</v>
      </c>
    </row>
    <row r="324" customFormat="false" ht="15" hidden="false" customHeight="false" outlineLevel="0" collapsed="false">
      <c r="A324" s="24" t="s">
        <v>9</v>
      </c>
      <c r="B324" s="25" t="s">
        <v>4</v>
      </c>
      <c r="C324" s="24" t="s">
        <v>319</v>
      </c>
      <c r="D324" s="24" t="s">
        <v>452</v>
      </c>
      <c r="E324" s="24" t="s">
        <v>385</v>
      </c>
      <c r="F324" s="25" t="s">
        <v>135</v>
      </c>
      <c r="G324" s="26" t="n">
        <v>54400</v>
      </c>
      <c r="H324" s="26" t="n">
        <v>0</v>
      </c>
      <c r="I324" s="26" t="n">
        <v>54400</v>
      </c>
      <c r="J324" s="25" t="s">
        <v>178</v>
      </c>
      <c r="K324" s="25" t="s">
        <v>179</v>
      </c>
      <c r="L324" s="25" t="s">
        <v>457</v>
      </c>
      <c r="M324" s="24" t="s">
        <v>181</v>
      </c>
      <c r="N324" s="26" t="n">
        <v>0</v>
      </c>
      <c r="O324" s="26" t="n">
        <v>1200</v>
      </c>
      <c r="P324" s="26" t="n">
        <v>1200</v>
      </c>
      <c r="Q324" s="25" t="s">
        <v>182</v>
      </c>
    </row>
    <row r="325" customFormat="false" ht="15" hidden="false" customHeight="false" outlineLevel="0" collapsed="false">
      <c r="A325" s="24" t="s">
        <v>9</v>
      </c>
      <c r="B325" s="25" t="s">
        <v>4</v>
      </c>
      <c r="C325" s="24" t="s">
        <v>319</v>
      </c>
      <c r="D325" s="24" t="s">
        <v>532</v>
      </c>
      <c r="E325" s="25" t="s">
        <v>194</v>
      </c>
      <c r="F325" s="25" t="s">
        <v>145</v>
      </c>
      <c r="G325" s="26" t="n">
        <v>27200</v>
      </c>
      <c r="H325" s="26" t="n">
        <v>0</v>
      </c>
      <c r="I325" s="26" t="n">
        <v>27200</v>
      </c>
      <c r="J325" s="25" t="s">
        <v>178</v>
      </c>
      <c r="K325" s="25" t="s">
        <v>179</v>
      </c>
      <c r="L325" s="25" t="s">
        <v>457</v>
      </c>
      <c r="M325" s="24" t="s">
        <v>181</v>
      </c>
      <c r="N325" s="26" t="n">
        <v>0</v>
      </c>
      <c r="O325" s="26" t="n">
        <v>600</v>
      </c>
      <c r="P325" s="26" t="n">
        <v>600</v>
      </c>
      <c r="Q325" s="25" t="s">
        <v>182</v>
      </c>
    </row>
    <row r="326" customFormat="false" ht="15" hidden="false" customHeight="false" outlineLevel="0" collapsed="false">
      <c r="A326" s="24" t="s">
        <v>9</v>
      </c>
      <c r="B326" s="25" t="s">
        <v>4</v>
      </c>
      <c r="C326" s="24" t="s">
        <v>319</v>
      </c>
      <c r="D326" s="24" t="s">
        <v>533</v>
      </c>
      <c r="E326" s="25" t="s">
        <v>272</v>
      </c>
      <c r="F326" s="25" t="s">
        <v>218</v>
      </c>
      <c r="G326" s="26" t="n">
        <v>72200</v>
      </c>
      <c r="H326" s="26" t="n">
        <v>0</v>
      </c>
      <c r="I326" s="26" t="n">
        <v>72200</v>
      </c>
      <c r="J326" s="25" t="s">
        <v>185</v>
      </c>
      <c r="K326" s="25" t="s">
        <v>457</v>
      </c>
      <c r="L326" s="25" t="s">
        <v>457</v>
      </c>
      <c r="M326" s="24" t="s">
        <v>186</v>
      </c>
      <c r="N326" s="26" t="n">
        <v>0</v>
      </c>
      <c r="O326" s="26" t="n">
        <v>1600</v>
      </c>
      <c r="P326" s="26" t="n">
        <v>1600</v>
      </c>
      <c r="Q326" s="25" t="s">
        <v>187</v>
      </c>
    </row>
    <row r="327" customFormat="false" ht="15" hidden="false" customHeight="false" outlineLevel="0" collapsed="false">
      <c r="A327" s="24" t="s">
        <v>10</v>
      </c>
      <c r="B327" s="25" t="s">
        <v>5</v>
      </c>
      <c r="C327" s="24" t="s">
        <v>175</v>
      </c>
      <c r="D327" s="24" t="s">
        <v>176</v>
      </c>
      <c r="E327" s="25" t="s">
        <v>48</v>
      </c>
      <c r="F327" s="25" t="s">
        <v>218</v>
      </c>
      <c r="G327" s="26" t="n">
        <v>183000</v>
      </c>
      <c r="H327" s="26" t="n">
        <v>0</v>
      </c>
      <c r="I327" s="26" t="n">
        <v>183000</v>
      </c>
      <c r="J327" s="25" t="s">
        <v>185</v>
      </c>
      <c r="K327" s="24" t="s">
        <v>534</v>
      </c>
      <c r="L327" s="25" t="s">
        <v>456</v>
      </c>
      <c r="M327" s="24" t="s">
        <v>181</v>
      </c>
      <c r="N327" s="26" t="n">
        <v>0</v>
      </c>
      <c r="O327" s="26" t="n">
        <v>2600</v>
      </c>
      <c r="P327" s="26" t="n">
        <v>2600</v>
      </c>
      <c r="Q327" s="25" t="s">
        <v>182</v>
      </c>
    </row>
    <row r="328" customFormat="false" ht="15" hidden="false" customHeight="false" outlineLevel="0" collapsed="false">
      <c r="A328" s="24" t="s">
        <v>10</v>
      </c>
      <c r="B328" s="25" t="s">
        <v>5</v>
      </c>
      <c r="C328" s="24" t="s">
        <v>175</v>
      </c>
      <c r="D328" s="24" t="s">
        <v>176</v>
      </c>
      <c r="E328" s="25" t="s">
        <v>201</v>
      </c>
      <c r="F328" s="25" t="s">
        <v>134</v>
      </c>
      <c r="G328" s="26" t="n">
        <v>95400</v>
      </c>
      <c r="H328" s="26" t="n">
        <v>0</v>
      </c>
      <c r="I328" s="26" t="n">
        <v>95400</v>
      </c>
      <c r="J328" s="25" t="s">
        <v>185</v>
      </c>
      <c r="K328" s="24" t="s">
        <v>535</v>
      </c>
      <c r="L328" s="25" t="s">
        <v>456</v>
      </c>
      <c r="M328" s="24" t="s">
        <v>181</v>
      </c>
      <c r="N328" s="26" t="n">
        <v>0</v>
      </c>
      <c r="O328" s="26" t="n">
        <v>1300</v>
      </c>
      <c r="P328" s="26" t="n">
        <v>1300</v>
      </c>
      <c r="Q328" s="25" t="s">
        <v>182</v>
      </c>
    </row>
    <row r="329" customFormat="false" ht="15" hidden="false" customHeight="false" outlineLevel="0" collapsed="false">
      <c r="A329" s="24" t="s">
        <v>10</v>
      </c>
      <c r="B329" s="25" t="s">
        <v>5</v>
      </c>
      <c r="C329" s="24" t="s">
        <v>175</v>
      </c>
      <c r="D329" s="24" t="s">
        <v>176</v>
      </c>
      <c r="E329" s="25" t="s">
        <v>459</v>
      </c>
      <c r="F329" s="25" t="s">
        <v>134</v>
      </c>
      <c r="G329" s="26" t="n">
        <v>75500</v>
      </c>
      <c r="H329" s="26" t="n">
        <v>0</v>
      </c>
      <c r="I329" s="26" t="n">
        <v>75500</v>
      </c>
      <c r="J329" s="25" t="s">
        <v>185</v>
      </c>
      <c r="K329" s="24" t="s">
        <v>536</v>
      </c>
      <c r="L329" s="25" t="s">
        <v>456</v>
      </c>
      <c r="M329" s="24" t="s">
        <v>181</v>
      </c>
      <c r="N329" s="26" t="n">
        <v>0</v>
      </c>
      <c r="O329" s="26" t="n">
        <v>1100</v>
      </c>
      <c r="P329" s="26" t="n">
        <v>1100</v>
      </c>
      <c r="Q329" s="25" t="s">
        <v>182</v>
      </c>
    </row>
    <row r="330" customFormat="false" ht="15" hidden="false" customHeight="false" outlineLevel="0" collapsed="false">
      <c r="A330" s="24" t="s">
        <v>10</v>
      </c>
      <c r="B330" s="25" t="s">
        <v>5</v>
      </c>
      <c r="C330" s="24" t="s">
        <v>175</v>
      </c>
      <c r="D330" s="24" t="s">
        <v>176</v>
      </c>
      <c r="E330" s="25" t="s">
        <v>537</v>
      </c>
      <c r="F330" s="25" t="s">
        <v>184</v>
      </c>
      <c r="G330" s="26" t="n">
        <v>133100</v>
      </c>
      <c r="H330" s="26" t="n">
        <v>0</v>
      </c>
      <c r="I330" s="26" t="n">
        <v>133100</v>
      </c>
      <c r="J330" s="25" t="s">
        <v>185</v>
      </c>
      <c r="K330" s="25" t="s">
        <v>538</v>
      </c>
      <c r="L330" s="24" t="s">
        <v>534</v>
      </c>
      <c r="M330" s="24" t="s">
        <v>181</v>
      </c>
      <c r="N330" s="26" t="n">
        <v>0</v>
      </c>
      <c r="O330" s="26" t="n">
        <v>1900</v>
      </c>
      <c r="P330" s="26" t="n">
        <v>1900</v>
      </c>
      <c r="Q330" s="25" t="s">
        <v>182</v>
      </c>
    </row>
    <row r="331" customFormat="false" ht="15" hidden="false" customHeight="false" outlineLevel="0" collapsed="false">
      <c r="A331" s="24" t="s">
        <v>10</v>
      </c>
      <c r="B331" s="25" t="s">
        <v>5</v>
      </c>
      <c r="C331" s="24" t="s">
        <v>175</v>
      </c>
      <c r="D331" s="24" t="s">
        <v>176</v>
      </c>
      <c r="E331" s="25" t="s">
        <v>272</v>
      </c>
      <c r="F331" s="25" t="s">
        <v>218</v>
      </c>
      <c r="G331" s="26" t="n">
        <v>72200</v>
      </c>
      <c r="H331" s="26" t="n">
        <v>4800</v>
      </c>
      <c r="I331" s="26" t="n">
        <v>67400</v>
      </c>
      <c r="J331" s="25" t="s">
        <v>185</v>
      </c>
      <c r="K331" s="25" t="s">
        <v>456</v>
      </c>
      <c r="L331" s="25" t="s">
        <v>456</v>
      </c>
      <c r="M331" s="24" t="s">
        <v>193</v>
      </c>
      <c r="N331" s="26" t="n">
        <v>4800</v>
      </c>
      <c r="O331" s="26" t="n">
        <v>4800</v>
      </c>
      <c r="P331" s="26" t="n">
        <v>0</v>
      </c>
      <c r="Q331" s="24"/>
    </row>
    <row r="332" customFormat="false" ht="15" hidden="false" customHeight="false" outlineLevel="0" collapsed="false">
      <c r="A332" s="24" t="s">
        <v>10</v>
      </c>
      <c r="B332" s="25" t="s">
        <v>5</v>
      </c>
      <c r="C332" s="24" t="s">
        <v>175</v>
      </c>
      <c r="D332" s="24" t="s">
        <v>176</v>
      </c>
      <c r="E332" s="24" t="s">
        <v>204</v>
      </c>
      <c r="F332" s="25" t="s">
        <v>205</v>
      </c>
      <c r="G332" s="26" t="n">
        <v>50000</v>
      </c>
      <c r="H332" s="26" t="n">
        <v>700</v>
      </c>
      <c r="I332" s="26" t="n">
        <v>49300</v>
      </c>
      <c r="J332" s="25" t="s">
        <v>185</v>
      </c>
      <c r="K332" s="25" t="s">
        <v>456</v>
      </c>
      <c r="L332" s="25" t="s">
        <v>456</v>
      </c>
      <c r="M332" s="24" t="s">
        <v>193</v>
      </c>
      <c r="N332" s="26" t="n">
        <v>700</v>
      </c>
      <c r="O332" s="26" t="n">
        <v>700</v>
      </c>
      <c r="P332" s="26" t="n">
        <v>0</v>
      </c>
      <c r="Q332" s="24"/>
    </row>
    <row r="333" customFormat="false" ht="15" hidden="false" customHeight="false" outlineLevel="0" collapsed="false">
      <c r="A333" s="24" t="s">
        <v>10</v>
      </c>
      <c r="B333" s="25" t="s">
        <v>5</v>
      </c>
      <c r="C333" s="24" t="s">
        <v>175</v>
      </c>
      <c r="D333" s="24" t="s">
        <v>191</v>
      </c>
      <c r="E333" s="24" t="s">
        <v>253</v>
      </c>
      <c r="F333" s="25" t="s">
        <v>153</v>
      </c>
      <c r="G333" s="26" t="n">
        <v>143900</v>
      </c>
      <c r="H333" s="26" t="n">
        <v>0</v>
      </c>
      <c r="I333" s="26" t="n">
        <v>143900</v>
      </c>
      <c r="J333" s="25" t="s">
        <v>185</v>
      </c>
      <c r="K333" s="24" t="s">
        <v>534</v>
      </c>
      <c r="L333" s="24" t="s">
        <v>539</v>
      </c>
      <c r="M333" s="24" t="s">
        <v>181</v>
      </c>
      <c r="N333" s="26" t="n">
        <v>0</v>
      </c>
      <c r="O333" s="26" t="n">
        <v>2000</v>
      </c>
      <c r="P333" s="26" t="n">
        <v>2000</v>
      </c>
      <c r="Q333" s="25" t="s">
        <v>182</v>
      </c>
    </row>
    <row r="334" customFormat="false" ht="15" hidden="false" customHeight="false" outlineLevel="0" collapsed="false">
      <c r="A334" s="24" t="s">
        <v>10</v>
      </c>
      <c r="B334" s="25" t="s">
        <v>5</v>
      </c>
      <c r="C334" s="24" t="s">
        <v>175</v>
      </c>
      <c r="D334" s="24" t="s">
        <v>191</v>
      </c>
      <c r="E334" s="25" t="s">
        <v>540</v>
      </c>
      <c r="F334" s="25" t="s">
        <v>143</v>
      </c>
      <c r="G334" s="26" t="n">
        <v>75000</v>
      </c>
      <c r="H334" s="26" t="n">
        <v>1100</v>
      </c>
      <c r="I334" s="26" t="n">
        <v>73900</v>
      </c>
      <c r="J334" s="25" t="s">
        <v>185</v>
      </c>
      <c r="K334" s="25" t="s">
        <v>456</v>
      </c>
      <c r="L334" s="25" t="s">
        <v>456</v>
      </c>
      <c r="M334" s="24" t="s">
        <v>193</v>
      </c>
      <c r="N334" s="26" t="n">
        <v>1100</v>
      </c>
      <c r="O334" s="26" t="n">
        <v>1100</v>
      </c>
      <c r="P334" s="26" t="n">
        <v>0</v>
      </c>
      <c r="Q334" s="24"/>
    </row>
    <row r="335" customFormat="false" ht="15" hidden="false" customHeight="false" outlineLevel="0" collapsed="false">
      <c r="A335" s="24" t="s">
        <v>10</v>
      </c>
      <c r="B335" s="25" t="s">
        <v>5</v>
      </c>
      <c r="C335" s="24" t="s">
        <v>175</v>
      </c>
      <c r="D335" s="24" t="s">
        <v>191</v>
      </c>
      <c r="E335" s="25" t="s">
        <v>214</v>
      </c>
      <c r="F335" s="25" t="s">
        <v>138</v>
      </c>
      <c r="G335" s="26" t="n">
        <v>59300</v>
      </c>
      <c r="H335" s="26" t="n">
        <v>800</v>
      </c>
      <c r="I335" s="26" t="n">
        <v>58500</v>
      </c>
      <c r="J335" s="25" t="s">
        <v>185</v>
      </c>
      <c r="K335" s="25" t="s">
        <v>456</v>
      </c>
      <c r="L335" s="25" t="s">
        <v>456</v>
      </c>
      <c r="M335" s="24" t="s">
        <v>193</v>
      </c>
      <c r="N335" s="26" t="n">
        <v>800</v>
      </c>
      <c r="O335" s="26" t="n">
        <v>800</v>
      </c>
      <c r="P335" s="26" t="n">
        <v>0</v>
      </c>
      <c r="Q335" s="24"/>
    </row>
    <row r="336" customFormat="false" ht="15" hidden="false" customHeight="false" outlineLevel="0" collapsed="false">
      <c r="A336" s="24" t="s">
        <v>10</v>
      </c>
      <c r="B336" s="25" t="s">
        <v>5</v>
      </c>
      <c r="C336" s="24" t="s">
        <v>175</v>
      </c>
      <c r="D336" s="24" t="s">
        <v>191</v>
      </c>
      <c r="E336" s="25" t="s">
        <v>541</v>
      </c>
      <c r="F336" s="25" t="s">
        <v>184</v>
      </c>
      <c r="G336" s="26" t="n">
        <v>104600</v>
      </c>
      <c r="H336" s="26" t="n">
        <v>0</v>
      </c>
      <c r="I336" s="26" t="n">
        <v>104600</v>
      </c>
      <c r="J336" s="25" t="s">
        <v>185</v>
      </c>
      <c r="K336" s="25" t="s">
        <v>538</v>
      </c>
      <c r="L336" s="24" t="s">
        <v>534</v>
      </c>
      <c r="M336" s="24" t="s">
        <v>181</v>
      </c>
      <c r="N336" s="26" t="n">
        <v>0</v>
      </c>
      <c r="O336" s="26" t="n">
        <v>1500</v>
      </c>
      <c r="P336" s="26" t="n">
        <v>1500</v>
      </c>
      <c r="Q336" s="25" t="s">
        <v>182</v>
      </c>
    </row>
    <row r="337" customFormat="false" ht="15" hidden="false" customHeight="false" outlineLevel="0" collapsed="false">
      <c r="A337" s="24" t="s">
        <v>10</v>
      </c>
      <c r="B337" s="25" t="s">
        <v>5</v>
      </c>
      <c r="C337" s="24" t="s">
        <v>175</v>
      </c>
      <c r="D337" s="24" t="s">
        <v>191</v>
      </c>
      <c r="E337" s="25" t="s">
        <v>255</v>
      </c>
      <c r="F337" s="25" t="s">
        <v>156</v>
      </c>
      <c r="G337" s="26" t="n">
        <v>56700</v>
      </c>
      <c r="H337" s="26" t="n">
        <v>3800</v>
      </c>
      <c r="I337" s="26" t="n">
        <v>52900</v>
      </c>
      <c r="J337" s="25" t="s">
        <v>185</v>
      </c>
      <c r="K337" s="25" t="s">
        <v>456</v>
      </c>
      <c r="L337" s="25" t="s">
        <v>456</v>
      </c>
      <c r="M337" s="24" t="s">
        <v>193</v>
      </c>
      <c r="N337" s="26" t="n">
        <v>3800</v>
      </c>
      <c r="O337" s="26" t="n">
        <v>3800</v>
      </c>
      <c r="P337" s="26" t="n">
        <v>0</v>
      </c>
      <c r="Q337" s="24"/>
    </row>
    <row r="338" customFormat="false" ht="15" hidden="false" customHeight="false" outlineLevel="0" collapsed="false">
      <c r="A338" s="24" t="s">
        <v>10</v>
      </c>
      <c r="B338" s="25" t="s">
        <v>5</v>
      </c>
      <c r="C338" s="24" t="s">
        <v>175</v>
      </c>
      <c r="D338" s="24" t="s">
        <v>191</v>
      </c>
      <c r="E338" s="25" t="s">
        <v>195</v>
      </c>
      <c r="F338" s="25" t="s">
        <v>144</v>
      </c>
      <c r="G338" s="26" t="n">
        <v>39200</v>
      </c>
      <c r="H338" s="26" t="n">
        <v>2600</v>
      </c>
      <c r="I338" s="26" t="n">
        <v>36600</v>
      </c>
      <c r="J338" s="25" t="s">
        <v>185</v>
      </c>
      <c r="K338" s="24" t="s">
        <v>539</v>
      </c>
      <c r="L338" s="24" t="s">
        <v>539</v>
      </c>
      <c r="M338" s="24" t="s">
        <v>193</v>
      </c>
      <c r="N338" s="26" t="n">
        <v>2600</v>
      </c>
      <c r="O338" s="26" t="n">
        <v>2600</v>
      </c>
      <c r="P338" s="26" t="n">
        <v>0</v>
      </c>
      <c r="Q338" s="24"/>
    </row>
    <row r="339" customFormat="false" ht="15" hidden="false" customHeight="false" outlineLevel="0" collapsed="false">
      <c r="A339" s="24" t="s">
        <v>10</v>
      </c>
      <c r="B339" s="25" t="s">
        <v>5</v>
      </c>
      <c r="C339" s="24" t="s">
        <v>175</v>
      </c>
      <c r="D339" s="24" t="s">
        <v>198</v>
      </c>
      <c r="E339" s="25" t="s">
        <v>315</v>
      </c>
      <c r="F339" s="25" t="s">
        <v>218</v>
      </c>
      <c r="G339" s="26" t="n">
        <v>208400</v>
      </c>
      <c r="H339" s="26" t="n">
        <v>0</v>
      </c>
      <c r="I339" s="26" t="n">
        <v>208400</v>
      </c>
      <c r="J339" s="25" t="s">
        <v>185</v>
      </c>
      <c r="K339" s="24" t="s">
        <v>534</v>
      </c>
      <c r="L339" s="25" t="s">
        <v>456</v>
      </c>
      <c r="M339" s="24" t="s">
        <v>181</v>
      </c>
      <c r="N339" s="26" t="n">
        <v>0</v>
      </c>
      <c r="O339" s="26" t="n">
        <v>3000</v>
      </c>
      <c r="P339" s="26" t="n">
        <v>3000</v>
      </c>
      <c r="Q339" s="25" t="s">
        <v>182</v>
      </c>
    </row>
    <row r="340" customFormat="false" ht="15" hidden="false" customHeight="false" outlineLevel="0" collapsed="false">
      <c r="A340" s="24" t="s">
        <v>10</v>
      </c>
      <c r="B340" s="25" t="s">
        <v>5</v>
      </c>
      <c r="C340" s="24" t="s">
        <v>175</v>
      </c>
      <c r="D340" s="24" t="s">
        <v>198</v>
      </c>
      <c r="E340" s="24" t="s">
        <v>209</v>
      </c>
      <c r="F340" s="25" t="s">
        <v>142</v>
      </c>
      <c r="G340" s="26" t="n">
        <v>109100</v>
      </c>
      <c r="H340" s="26" t="n">
        <v>0</v>
      </c>
      <c r="I340" s="26" t="n">
        <v>109100</v>
      </c>
      <c r="J340" s="25" t="s">
        <v>185</v>
      </c>
      <c r="K340" s="24" t="s">
        <v>535</v>
      </c>
      <c r="L340" s="24" t="s">
        <v>539</v>
      </c>
      <c r="M340" s="24" t="s">
        <v>181</v>
      </c>
      <c r="N340" s="26" t="n">
        <v>0</v>
      </c>
      <c r="O340" s="26" t="n">
        <v>1500</v>
      </c>
      <c r="P340" s="26" t="n">
        <v>1500</v>
      </c>
      <c r="Q340" s="25" t="s">
        <v>182</v>
      </c>
    </row>
    <row r="341" customFormat="false" ht="15" hidden="false" customHeight="false" outlineLevel="0" collapsed="false">
      <c r="A341" s="24" t="s">
        <v>10</v>
      </c>
      <c r="B341" s="25" t="s">
        <v>5</v>
      </c>
      <c r="C341" s="24" t="s">
        <v>175</v>
      </c>
      <c r="D341" s="24" t="s">
        <v>198</v>
      </c>
      <c r="E341" s="25" t="s">
        <v>177</v>
      </c>
      <c r="F341" s="25" t="s">
        <v>140</v>
      </c>
      <c r="G341" s="26" t="n">
        <v>86100</v>
      </c>
      <c r="H341" s="26" t="n">
        <v>1200</v>
      </c>
      <c r="I341" s="26" t="n">
        <v>84900</v>
      </c>
      <c r="J341" s="25" t="s">
        <v>185</v>
      </c>
      <c r="K341" s="24" t="s">
        <v>539</v>
      </c>
      <c r="L341" s="24" t="s">
        <v>539</v>
      </c>
      <c r="M341" s="24" t="s">
        <v>193</v>
      </c>
      <c r="N341" s="26" t="n">
        <v>1200</v>
      </c>
      <c r="O341" s="26" t="n">
        <v>1200</v>
      </c>
      <c r="P341" s="26" t="n">
        <v>0</v>
      </c>
      <c r="Q341" s="24"/>
    </row>
    <row r="342" customFormat="false" ht="15" hidden="false" customHeight="false" outlineLevel="0" collapsed="false">
      <c r="A342" s="24" t="s">
        <v>10</v>
      </c>
      <c r="B342" s="25" t="s">
        <v>5</v>
      </c>
      <c r="C342" s="24" t="s">
        <v>175</v>
      </c>
      <c r="D342" s="24" t="s">
        <v>198</v>
      </c>
      <c r="E342" s="25" t="s">
        <v>542</v>
      </c>
      <c r="F342" s="25" t="s">
        <v>184</v>
      </c>
      <c r="G342" s="26" t="n">
        <v>152100</v>
      </c>
      <c r="H342" s="26" t="n">
        <v>0</v>
      </c>
      <c r="I342" s="26" t="n">
        <v>152100</v>
      </c>
      <c r="J342" s="25" t="s">
        <v>185</v>
      </c>
      <c r="K342" s="25" t="s">
        <v>538</v>
      </c>
      <c r="L342" s="24" t="s">
        <v>534</v>
      </c>
      <c r="M342" s="24" t="s">
        <v>181</v>
      </c>
      <c r="N342" s="26" t="n">
        <v>0</v>
      </c>
      <c r="O342" s="26" t="n">
        <v>2100</v>
      </c>
      <c r="P342" s="26" t="n">
        <v>2100</v>
      </c>
      <c r="Q342" s="25" t="s">
        <v>182</v>
      </c>
    </row>
    <row r="343" customFormat="false" ht="15" hidden="false" customHeight="false" outlineLevel="0" collapsed="false">
      <c r="A343" s="24" t="s">
        <v>10</v>
      </c>
      <c r="B343" s="25" t="s">
        <v>5</v>
      </c>
      <c r="C343" s="24" t="s">
        <v>175</v>
      </c>
      <c r="D343" s="24" t="s">
        <v>198</v>
      </c>
      <c r="E343" s="25" t="s">
        <v>462</v>
      </c>
      <c r="F343" s="25" t="s">
        <v>218</v>
      </c>
      <c r="G343" s="26" t="n">
        <v>82400</v>
      </c>
      <c r="H343" s="26" t="n">
        <v>5500</v>
      </c>
      <c r="I343" s="26" t="n">
        <v>76900</v>
      </c>
      <c r="J343" s="25" t="s">
        <v>185</v>
      </c>
      <c r="K343" s="25" t="s">
        <v>456</v>
      </c>
      <c r="L343" s="25" t="s">
        <v>456</v>
      </c>
      <c r="M343" s="24" t="s">
        <v>193</v>
      </c>
      <c r="N343" s="26" t="n">
        <v>5500</v>
      </c>
      <c r="O343" s="26" t="n">
        <v>5500</v>
      </c>
      <c r="P343" s="26" t="n">
        <v>0</v>
      </c>
      <c r="Q343" s="24"/>
    </row>
    <row r="344" customFormat="false" ht="15" hidden="false" customHeight="false" outlineLevel="0" collapsed="false">
      <c r="A344" s="24" t="s">
        <v>10</v>
      </c>
      <c r="B344" s="25" t="s">
        <v>5</v>
      </c>
      <c r="C344" s="24" t="s">
        <v>175</v>
      </c>
      <c r="D344" s="24" t="s">
        <v>198</v>
      </c>
      <c r="E344" s="25" t="s">
        <v>281</v>
      </c>
      <c r="F344" s="25" t="s">
        <v>138</v>
      </c>
      <c r="G344" s="26" t="n">
        <v>57000</v>
      </c>
      <c r="H344" s="26" t="n">
        <v>0</v>
      </c>
      <c r="I344" s="26" t="n">
        <v>57000</v>
      </c>
      <c r="J344" s="25" t="s">
        <v>185</v>
      </c>
      <c r="K344" s="24" t="s">
        <v>539</v>
      </c>
      <c r="L344" s="25" t="s">
        <v>456</v>
      </c>
      <c r="M344" s="24" t="s">
        <v>181</v>
      </c>
      <c r="N344" s="26" t="n">
        <v>0</v>
      </c>
      <c r="O344" s="26" t="n">
        <v>800</v>
      </c>
      <c r="P344" s="26" t="n">
        <v>800</v>
      </c>
      <c r="Q344" s="25" t="s">
        <v>182</v>
      </c>
    </row>
    <row r="345" customFormat="false" ht="15" hidden="false" customHeight="false" outlineLevel="0" collapsed="false">
      <c r="A345" s="24" t="s">
        <v>10</v>
      </c>
      <c r="B345" s="25" t="s">
        <v>5</v>
      </c>
      <c r="C345" s="24" t="s">
        <v>175</v>
      </c>
      <c r="D345" s="24" t="s">
        <v>203</v>
      </c>
      <c r="E345" s="24" t="s">
        <v>358</v>
      </c>
      <c r="F345" s="25" t="s">
        <v>135</v>
      </c>
      <c r="G345" s="26" t="n">
        <v>117600</v>
      </c>
      <c r="H345" s="26" t="n">
        <v>0</v>
      </c>
      <c r="I345" s="26" t="n">
        <v>117600</v>
      </c>
      <c r="J345" s="25" t="s">
        <v>185</v>
      </c>
      <c r="K345" s="24" t="s">
        <v>534</v>
      </c>
      <c r="L345" s="24" t="s">
        <v>539</v>
      </c>
      <c r="M345" s="24" t="s">
        <v>181</v>
      </c>
      <c r="N345" s="26" t="n">
        <v>0</v>
      </c>
      <c r="O345" s="26" t="n">
        <v>1700</v>
      </c>
      <c r="P345" s="26" t="n">
        <v>1700</v>
      </c>
      <c r="Q345" s="25" t="s">
        <v>182</v>
      </c>
    </row>
    <row r="346" customFormat="false" ht="15" hidden="false" customHeight="false" outlineLevel="0" collapsed="false">
      <c r="A346" s="24" t="s">
        <v>10</v>
      </c>
      <c r="B346" s="25" t="s">
        <v>5</v>
      </c>
      <c r="C346" s="24" t="s">
        <v>175</v>
      </c>
      <c r="D346" s="24" t="s">
        <v>203</v>
      </c>
      <c r="E346" s="25" t="s">
        <v>194</v>
      </c>
      <c r="F346" s="25" t="s">
        <v>145</v>
      </c>
      <c r="G346" s="26" t="n">
        <v>61400</v>
      </c>
      <c r="H346" s="26" t="n">
        <v>0</v>
      </c>
      <c r="I346" s="26" t="n">
        <v>61400</v>
      </c>
      <c r="J346" s="25" t="s">
        <v>185</v>
      </c>
      <c r="K346" s="24" t="s">
        <v>535</v>
      </c>
      <c r="L346" s="25" t="s">
        <v>456</v>
      </c>
      <c r="M346" s="24" t="s">
        <v>181</v>
      </c>
      <c r="N346" s="26" t="n">
        <v>0</v>
      </c>
      <c r="O346" s="26" t="n">
        <v>900</v>
      </c>
      <c r="P346" s="26" t="n">
        <v>900</v>
      </c>
      <c r="Q346" s="25" t="s">
        <v>182</v>
      </c>
    </row>
    <row r="347" customFormat="false" ht="15" hidden="false" customHeight="false" outlineLevel="0" collapsed="false">
      <c r="A347" s="24" t="s">
        <v>10</v>
      </c>
      <c r="B347" s="25" t="s">
        <v>5</v>
      </c>
      <c r="C347" s="24" t="s">
        <v>175</v>
      </c>
      <c r="D347" s="24" t="s">
        <v>203</v>
      </c>
      <c r="E347" s="25" t="s">
        <v>192</v>
      </c>
      <c r="F347" s="25" t="s">
        <v>147</v>
      </c>
      <c r="G347" s="26" t="n">
        <v>48500</v>
      </c>
      <c r="H347" s="26" t="n">
        <v>700</v>
      </c>
      <c r="I347" s="26" t="n">
        <v>47800</v>
      </c>
      <c r="J347" s="25" t="s">
        <v>185</v>
      </c>
      <c r="K347" s="25" t="s">
        <v>456</v>
      </c>
      <c r="L347" s="25" t="s">
        <v>456</v>
      </c>
      <c r="M347" s="24" t="s">
        <v>193</v>
      </c>
      <c r="N347" s="26" t="n">
        <v>700</v>
      </c>
      <c r="O347" s="26" t="n">
        <v>700</v>
      </c>
      <c r="P347" s="26" t="n">
        <v>0</v>
      </c>
      <c r="Q347" s="24"/>
    </row>
    <row r="348" customFormat="false" ht="15" hidden="false" customHeight="false" outlineLevel="0" collapsed="false">
      <c r="A348" s="24" t="s">
        <v>10</v>
      </c>
      <c r="B348" s="25" t="s">
        <v>5</v>
      </c>
      <c r="C348" s="24" t="s">
        <v>175</v>
      </c>
      <c r="D348" s="24" t="s">
        <v>203</v>
      </c>
      <c r="E348" s="24" t="s">
        <v>294</v>
      </c>
      <c r="F348" s="25" t="s">
        <v>140</v>
      </c>
      <c r="G348" s="26" t="n">
        <v>85500</v>
      </c>
      <c r="H348" s="26" t="n">
        <v>0</v>
      </c>
      <c r="I348" s="26" t="n">
        <v>85500</v>
      </c>
      <c r="J348" s="25" t="s">
        <v>185</v>
      </c>
      <c r="K348" s="25" t="s">
        <v>538</v>
      </c>
      <c r="L348" s="24" t="s">
        <v>534</v>
      </c>
      <c r="M348" s="24" t="s">
        <v>181</v>
      </c>
      <c r="N348" s="26" t="n">
        <v>0</v>
      </c>
      <c r="O348" s="26" t="n">
        <v>1200</v>
      </c>
      <c r="P348" s="26" t="n">
        <v>1200</v>
      </c>
      <c r="Q348" s="25" t="s">
        <v>182</v>
      </c>
    </row>
    <row r="349" customFormat="false" ht="15" hidden="false" customHeight="false" outlineLevel="0" collapsed="false">
      <c r="A349" s="24" t="s">
        <v>10</v>
      </c>
      <c r="B349" s="25" t="s">
        <v>5</v>
      </c>
      <c r="C349" s="24" t="s">
        <v>175</v>
      </c>
      <c r="D349" s="24" t="s">
        <v>203</v>
      </c>
      <c r="E349" s="25" t="s">
        <v>258</v>
      </c>
      <c r="F349" s="25" t="s">
        <v>147</v>
      </c>
      <c r="G349" s="26" t="n">
        <v>46400</v>
      </c>
      <c r="H349" s="26" t="n">
        <v>3100</v>
      </c>
      <c r="I349" s="26" t="n">
        <v>43300</v>
      </c>
      <c r="J349" s="25" t="s">
        <v>185</v>
      </c>
      <c r="K349" s="25" t="s">
        <v>456</v>
      </c>
      <c r="L349" s="25" t="s">
        <v>456</v>
      </c>
      <c r="M349" s="24" t="s">
        <v>193</v>
      </c>
      <c r="N349" s="26" t="n">
        <v>3100</v>
      </c>
      <c r="O349" s="26" t="n">
        <v>3100</v>
      </c>
      <c r="P349" s="26" t="n">
        <v>0</v>
      </c>
      <c r="Q349" s="24"/>
    </row>
    <row r="350" customFormat="false" ht="15" hidden="false" customHeight="false" outlineLevel="0" collapsed="false">
      <c r="A350" s="24" t="s">
        <v>10</v>
      </c>
      <c r="B350" s="25" t="s">
        <v>5</v>
      </c>
      <c r="C350" s="24" t="s">
        <v>175</v>
      </c>
      <c r="D350" s="24" t="s">
        <v>203</v>
      </c>
      <c r="E350" s="24" t="s">
        <v>207</v>
      </c>
      <c r="F350" s="25" t="s">
        <v>154</v>
      </c>
      <c r="G350" s="26" t="n">
        <v>32100</v>
      </c>
      <c r="H350" s="26" t="n">
        <v>500</v>
      </c>
      <c r="I350" s="26" t="n">
        <v>31600</v>
      </c>
      <c r="J350" s="25" t="s">
        <v>185</v>
      </c>
      <c r="K350" s="25" t="s">
        <v>456</v>
      </c>
      <c r="L350" s="25" t="s">
        <v>456</v>
      </c>
      <c r="M350" s="24" t="s">
        <v>193</v>
      </c>
      <c r="N350" s="26" t="n">
        <v>500</v>
      </c>
      <c r="O350" s="26" t="n">
        <v>500</v>
      </c>
      <c r="P350" s="26" t="n">
        <v>0</v>
      </c>
      <c r="Q350" s="24"/>
    </row>
    <row r="351" customFormat="false" ht="15" hidden="false" customHeight="false" outlineLevel="0" collapsed="false">
      <c r="A351" s="24" t="s">
        <v>10</v>
      </c>
      <c r="B351" s="25" t="s">
        <v>5</v>
      </c>
      <c r="C351" s="24" t="s">
        <v>175</v>
      </c>
      <c r="D351" s="24" t="s">
        <v>208</v>
      </c>
      <c r="E351" s="25" t="s">
        <v>48</v>
      </c>
      <c r="F351" s="25" t="s">
        <v>218</v>
      </c>
      <c r="G351" s="26" t="n">
        <v>170000</v>
      </c>
      <c r="H351" s="26" t="n">
        <v>0</v>
      </c>
      <c r="I351" s="26" t="n">
        <v>170000</v>
      </c>
      <c r="J351" s="25" t="s">
        <v>185</v>
      </c>
      <c r="K351" s="24" t="s">
        <v>534</v>
      </c>
      <c r="L351" s="25" t="s">
        <v>456</v>
      </c>
      <c r="M351" s="24" t="s">
        <v>181</v>
      </c>
      <c r="N351" s="26" t="n">
        <v>0</v>
      </c>
      <c r="O351" s="26" t="n">
        <v>2400</v>
      </c>
      <c r="P351" s="26" t="n">
        <v>2400</v>
      </c>
      <c r="Q351" s="25" t="s">
        <v>182</v>
      </c>
    </row>
    <row r="352" customFormat="false" ht="15" hidden="false" customHeight="false" outlineLevel="0" collapsed="false">
      <c r="A352" s="24" t="s">
        <v>10</v>
      </c>
      <c r="B352" s="25" t="s">
        <v>5</v>
      </c>
      <c r="C352" s="24" t="s">
        <v>175</v>
      </c>
      <c r="D352" s="24" t="s">
        <v>208</v>
      </c>
      <c r="E352" s="24" t="s">
        <v>310</v>
      </c>
      <c r="F352" s="25" t="s">
        <v>140</v>
      </c>
      <c r="G352" s="26" t="n">
        <v>88500</v>
      </c>
      <c r="H352" s="26" t="n">
        <v>0</v>
      </c>
      <c r="I352" s="26" t="n">
        <v>88500</v>
      </c>
      <c r="J352" s="25" t="s">
        <v>185</v>
      </c>
      <c r="K352" s="24" t="s">
        <v>535</v>
      </c>
      <c r="L352" s="24" t="s">
        <v>539</v>
      </c>
      <c r="M352" s="24" t="s">
        <v>181</v>
      </c>
      <c r="N352" s="26" t="n">
        <v>0</v>
      </c>
      <c r="O352" s="26" t="n">
        <v>1300</v>
      </c>
      <c r="P352" s="26" t="n">
        <v>1300</v>
      </c>
      <c r="Q352" s="25" t="s">
        <v>182</v>
      </c>
    </row>
    <row r="353" customFormat="false" ht="15" hidden="false" customHeight="false" outlineLevel="0" collapsed="false">
      <c r="A353" s="24" t="s">
        <v>10</v>
      </c>
      <c r="B353" s="25" t="s">
        <v>5</v>
      </c>
      <c r="C353" s="24" t="s">
        <v>175</v>
      </c>
      <c r="D353" s="24" t="s">
        <v>208</v>
      </c>
      <c r="E353" s="25" t="s">
        <v>304</v>
      </c>
      <c r="F353" s="25" t="s">
        <v>138</v>
      </c>
      <c r="G353" s="26" t="n">
        <v>70100</v>
      </c>
      <c r="H353" s="26" t="n">
        <v>0</v>
      </c>
      <c r="I353" s="26" t="n">
        <v>70100</v>
      </c>
      <c r="J353" s="25" t="s">
        <v>185</v>
      </c>
      <c r="K353" s="24" t="s">
        <v>536</v>
      </c>
      <c r="L353" s="25" t="s">
        <v>456</v>
      </c>
      <c r="M353" s="24" t="s">
        <v>181</v>
      </c>
      <c r="N353" s="26" t="n">
        <v>0</v>
      </c>
      <c r="O353" s="26" t="n">
        <v>1000</v>
      </c>
      <c r="P353" s="26" t="n">
        <v>1000</v>
      </c>
      <c r="Q353" s="25" t="s">
        <v>182</v>
      </c>
    </row>
    <row r="354" customFormat="false" ht="15" hidden="false" customHeight="false" outlineLevel="0" collapsed="false">
      <c r="A354" s="24" t="s">
        <v>10</v>
      </c>
      <c r="B354" s="25" t="s">
        <v>5</v>
      </c>
      <c r="C354" s="24" t="s">
        <v>175</v>
      </c>
      <c r="D354" s="24" t="s">
        <v>208</v>
      </c>
      <c r="E354" s="25" t="s">
        <v>537</v>
      </c>
      <c r="F354" s="25" t="s">
        <v>184</v>
      </c>
      <c r="G354" s="26" t="n">
        <v>123600</v>
      </c>
      <c r="H354" s="26" t="n">
        <v>0</v>
      </c>
      <c r="I354" s="26" t="n">
        <v>123600</v>
      </c>
      <c r="J354" s="25" t="s">
        <v>185</v>
      </c>
      <c r="K354" s="25" t="s">
        <v>538</v>
      </c>
      <c r="L354" s="24" t="s">
        <v>534</v>
      </c>
      <c r="M354" s="24" t="s">
        <v>181</v>
      </c>
      <c r="N354" s="26" t="n">
        <v>0</v>
      </c>
      <c r="O354" s="26" t="n">
        <v>1700</v>
      </c>
      <c r="P354" s="26" t="n">
        <v>1700</v>
      </c>
      <c r="Q354" s="25" t="s">
        <v>182</v>
      </c>
    </row>
    <row r="355" customFormat="false" ht="15" hidden="false" customHeight="false" outlineLevel="0" collapsed="false">
      <c r="A355" s="24" t="s">
        <v>10</v>
      </c>
      <c r="B355" s="25" t="s">
        <v>5</v>
      </c>
      <c r="C355" s="24" t="s">
        <v>175</v>
      </c>
      <c r="D355" s="24" t="s">
        <v>208</v>
      </c>
      <c r="E355" s="25" t="s">
        <v>272</v>
      </c>
      <c r="F355" s="25" t="s">
        <v>218</v>
      </c>
      <c r="G355" s="26" t="n">
        <v>66900</v>
      </c>
      <c r="H355" s="26" t="n">
        <v>4400</v>
      </c>
      <c r="I355" s="26" t="n">
        <v>62500</v>
      </c>
      <c r="J355" s="25" t="s">
        <v>185</v>
      </c>
      <c r="K355" s="25" t="s">
        <v>456</v>
      </c>
      <c r="L355" s="25" t="s">
        <v>456</v>
      </c>
      <c r="M355" s="24" t="s">
        <v>193</v>
      </c>
      <c r="N355" s="26" t="n">
        <v>4400</v>
      </c>
      <c r="O355" s="26" t="n">
        <v>4400</v>
      </c>
      <c r="P355" s="26" t="n">
        <v>0</v>
      </c>
      <c r="Q355" s="24"/>
    </row>
    <row r="356" customFormat="false" ht="15" hidden="false" customHeight="false" outlineLevel="0" collapsed="false">
      <c r="A356" s="24" t="s">
        <v>10</v>
      </c>
      <c r="B356" s="25" t="s">
        <v>5</v>
      </c>
      <c r="C356" s="24" t="s">
        <v>175</v>
      </c>
      <c r="D356" s="24" t="s">
        <v>208</v>
      </c>
      <c r="E356" s="25" t="s">
        <v>206</v>
      </c>
      <c r="F356" s="25" t="s">
        <v>137</v>
      </c>
      <c r="G356" s="26" t="n">
        <v>46400</v>
      </c>
      <c r="H356" s="26" t="n">
        <v>3100</v>
      </c>
      <c r="I356" s="26" t="n">
        <v>43300</v>
      </c>
      <c r="J356" s="25" t="s">
        <v>185</v>
      </c>
      <c r="K356" s="24" t="s">
        <v>539</v>
      </c>
      <c r="L356" s="24" t="s">
        <v>539</v>
      </c>
      <c r="M356" s="24" t="s">
        <v>193</v>
      </c>
      <c r="N356" s="26" t="n">
        <v>3100</v>
      </c>
      <c r="O356" s="26" t="n">
        <v>3100</v>
      </c>
      <c r="P356" s="26" t="n">
        <v>0</v>
      </c>
      <c r="Q356" s="24"/>
    </row>
    <row r="357" customFormat="false" ht="15" hidden="false" customHeight="false" outlineLevel="0" collapsed="false">
      <c r="A357" s="24" t="s">
        <v>10</v>
      </c>
      <c r="B357" s="25" t="s">
        <v>5</v>
      </c>
      <c r="C357" s="24" t="s">
        <v>175</v>
      </c>
      <c r="D357" s="24" t="s">
        <v>213</v>
      </c>
      <c r="E357" s="25" t="s">
        <v>210</v>
      </c>
      <c r="F357" s="25" t="s">
        <v>136</v>
      </c>
      <c r="G357" s="26" t="n">
        <v>156900</v>
      </c>
      <c r="H357" s="26" t="n">
        <v>0</v>
      </c>
      <c r="I357" s="26" t="n">
        <v>156900</v>
      </c>
      <c r="J357" s="25" t="s">
        <v>185</v>
      </c>
      <c r="K357" s="24" t="s">
        <v>534</v>
      </c>
      <c r="L357" s="24" t="s">
        <v>539</v>
      </c>
      <c r="M357" s="24" t="s">
        <v>181</v>
      </c>
      <c r="N357" s="26" t="n">
        <v>0</v>
      </c>
      <c r="O357" s="26" t="n">
        <v>2200</v>
      </c>
      <c r="P357" s="26" t="n">
        <v>2200</v>
      </c>
      <c r="Q357" s="25" t="s">
        <v>182</v>
      </c>
    </row>
    <row r="358" customFormat="false" ht="15" hidden="false" customHeight="false" outlineLevel="0" collapsed="false">
      <c r="A358" s="24" t="s">
        <v>10</v>
      </c>
      <c r="B358" s="25" t="s">
        <v>5</v>
      </c>
      <c r="C358" s="24" t="s">
        <v>175</v>
      </c>
      <c r="D358" s="24" t="s">
        <v>213</v>
      </c>
      <c r="E358" s="25" t="s">
        <v>346</v>
      </c>
      <c r="F358" s="25" t="s">
        <v>143</v>
      </c>
      <c r="G358" s="26" t="n">
        <v>81800</v>
      </c>
      <c r="H358" s="26" t="n">
        <v>0</v>
      </c>
      <c r="I358" s="26" t="n">
        <v>81800</v>
      </c>
      <c r="J358" s="25" t="s">
        <v>185</v>
      </c>
      <c r="K358" s="24" t="s">
        <v>535</v>
      </c>
      <c r="L358" s="24" t="s">
        <v>539</v>
      </c>
      <c r="M358" s="24" t="s">
        <v>181</v>
      </c>
      <c r="N358" s="26" t="n">
        <v>0</v>
      </c>
      <c r="O358" s="26" t="n">
        <v>1200</v>
      </c>
      <c r="P358" s="26" t="n">
        <v>1200</v>
      </c>
      <c r="Q358" s="25" t="s">
        <v>182</v>
      </c>
    </row>
    <row r="359" customFormat="false" ht="15" hidden="false" customHeight="false" outlineLevel="0" collapsed="false">
      <c r="A359" s="24" t="s">
        <v>10</v>
      </c>
      <c r="B359" s="25" t="s">
        <v>5</v>
      </c>
      <c r="C359" s="24" t="s">
        <v>175</v>
      </c>
      <c r="D359" s="24" t="s">
        <v>213</v>
      </c>
      <c r="E359" s="25" t="s">
        <v>543</v>
      </c>
      <c r="F359" s="25" t="s">
        <v>138</v>
      </c>
      <c r="G359" s="26" t="n">
        <v>64700</v>
      </c>
      <c r="H359" s="26" t="n">
        <v>0</v>
      </c>
      <c r="I359" s="26" t="n">
        <v>64700</v>
      </c>
      <c r="J359" s="25" t="s">
        <v>185</v>
      </c>
      <c r="K359" s="24" t="s">
        <v>536</v>
      </c>
      <c r="L359" s="25" t="s">
        <v>456</v>
      </c>
      <c r="M359" s="24" t="s">
        <v>181</v>
      </c>
      <c r="N359" s="26" t="n">
        <v>0</v>
      </c>
      <c r="O359" s="26" t="n">
        <v>900</v>
      </c>
      <c r="P359" s="26" t="n">
        <v>900</v>
      </c>
      <c r="Q359" s="25" t="s">
        <v>182</v>
      </c>
    </row>
    <row r="360" customFormat="false" ht="15" hidden="false" customHeight="false" outlineLevel="0" collapsed="false">
      <c r="A360" s="24" t="s">
        <v>10</v>
      </c>
      <c r="B360" s="25" t="s">
        <v>5</v>
      </c>
      <c r="C360" s="24" t="s">
        <v>175</v>
      </c>
      <c r="D360" s="24" t="s">
        <v>213</v>
      </c>
      <c r="E360" s="25" t="s">
        <v>541</v>
      </c>
      <c r="F360" s="25" t="s">
        <v>184</v>
      </c>
      <c r="G360" s="26" t="n">
        <v>114200</v>
      </c>
      <c r="H360" s="26" t="n">
        <v>0</v>
      </c>
      <c r="I360" s="26" t="n">
        <v>114200</v>
      </c>
      <c r="J360" s="25" t="s">
        <v>185</v>
      </c>
      <c r="K360" s="25" t="s">
        <v>538</v>
      </c>
      <c r="L360" s="24" t="s">
        <v>534</v>
      </c>
      <c r="M360" s="24" t="s">
        <v>181</v>
      </c>
      <c r="N360" s="26" t="n">
        <v>0</v>
      </c>
      <c r="O360" s="26" t="n">
        <v>1600</v>
      </c>
      <c r="P360" s="26" t="n">
        <v>1600</v>
      </c>
      <c r="Q360" s="25" t="s">
        <v>182</v>
      </c>
    </row>
    <row r="361" customFormat="false" ht="15" hidden="false" customHeight="false" outlineLevel="0" collapsed="false">
      <c r="A361" s="24" t="s">
        <v>10</v>
      </c>
      <c r="B361" s="25" t="s">
        <v>5</v>
      </c>
      <c r="C361" s="24" t="s">
        <v>175</v>
      </c>
      <c r="D361" s="24" t="s">
        <v>213</v>
      </c>
      <c r="E361" s="25" t="s">
        <v>219</v>
      </c>
      <c r="F361" s="25" t="s">
        <v>137</v>
      </c>
      <c r="G361" s="26" t="n">
        <v>61800</v>
      </c>
      <c r="H361" s="26" t="n">
        <v>4100</v>
      </c>
      <c r="I361" s="26" t="n">
        <v>57700</v>
      </c>
      <c r="J361" s="25" t="s">
        <v>185</v>
      </c>
      <c r="K361" s="25" t="s">
        <v>456</v>
      </c>
      <c r="L361" s="25" t="s">
        <v>456</v>
      </c>
      <c r="M361" s="24" t="s">
        <v>193</v>
      </c>
      <c r="N361" s="26" t="n">
        <v>4100</v>
      </c>
      <c r="O361" s="26" t="n">
        <v>4100</v>
      </c>
      <c r="P361" s="26" t="n">
        <v>0</v>
      </c>
      <c r="Q361" s="24"/>
    </row>
    <row r="362" customFormat="false" ht="15" hidden="false" customHeight="false" outlineLevel="0" collapsed="false">
      <c r="A362" s="24" t="s">
        <v>10</v>
      </c>
      <c r="B362" s="25" t="s">
        <v>5</v>
      </c>
      <c r="C362" s="24" t="s">
        <v>175</v>
      </c>
      <c r="D362" s="24" t="s">
        <v>213</v>
      </c>
      <c r="E362" s="25" t="s">
        <v>188</v>
      </c>
      <c r="F362" s="25" t="s">
        <v>189</v>
      </c>
      <c r="G362" s="26" t="n">
        <v>42800</v>
      </c>
      <c r="H362" s="26" t="n">
        <v>600</v>
      </c>
      <c r="I362" s="26" t="n">
        <v>42200</v>
      </c>
      <c r="J362" s="25" t="s">
        <v>185</v>
      </c>
      <c r="K362" s="25" t="s">
        <v>456</v>
      </c>
      <c r="L362" s="25" t="s">
        <v>456</v>
      </c>
      <c r="M362" s="24" t="s">
        <v>193</v>
      </c>
      <c r="N362" s="26" t="n">
        <v>600</v>
      </c>
      <c r="O362" s="26" t="n">
        <v>600</v>
      </c>
      <c r="P362" s="26" t="n">
        <v>0</v>
      </c>
      <c r="Q362" s="24"/>
    </row>
    <row r="363" customFormat="false" ht="15" hidden="false" customHeight="false" outlineLevel="0" collapsed="false">
      <c r="A363" s="24" t="s">
        <v>10</v>
      </c>
      <c r="B363" s="25" t="s">
        <v>5</v>
      </c>
      <c r="C363" s="24" t="s">
        <v>175</v>
      </c>
      <c r="D363" s="24" t="s">
        <v>217</v>
      </c>
      <c r="E363" s="25" t="s">
        <v>315</v>
      </c>
      <c r="F363" s="25" t="s">
        <v>218</v>
      </c>
      <c r="G363" s="26" t="n">
        <v>196100</v>
      </c>
      <c r="H363" s="26" t="n">
        <v>0</v>
      </c>
      <c r="I363" s="26" t="n">
        <v>196100</v>
      </c>
      <c r="J363" s="25" t="s">
        <v>185</v>
      </c>
      <c r="K363" s="24" t="s">
        <v>534</v>
      </c>
      <c r="L363" s="25" t="s">
        <v>456</v>
      </c>
      <c r="M363" s="24" t="s">
        <v>181</v>
      </c>
      <c r="N363" s="26" t="n">
        <v>0</v>
      </c>
      <c r="O363" s="26" t="n">
        <v>2800</v>
      </c>
      <c r="P363" s="26" t="n">
        <v>2800</v>
      </c>
      <c r="Q363" s="25" t="s">
        <v>182</v>
      </c>
    </row>
    <row r="364" customFormat="false" ht="15" hidden="false" customHeight="false" outlineLevel="0" collapsed="false">
      <c r="A364" s="24" t="s">
        <v>10</v>
      </c>
      <c r="B364" s="25" t="s">
        <v>5</v>
      </c>
      <c r="C364" s="24" t="s">
        <v>175</v>
      </c>
      <c r="D364" s="24" t="s">
        <v>217</v>
      </c>
      <c r="E364" s="24" t="s">
        <v>361</v>
      </c>
      <c r="F364" s="25" t="s">
        <v>135</v>
      </c>
      <c r="G364" s="26" t="n">
        <v>102200</v>
      </c>
      <c r="H364" s="26" t="n">
        <v>0</v>
      </c>
      <c r="I364" s="26" t="n">
        <v>102200</v>
      </c>
      <c r="J364" s="25" t="s">
        <v>185</v>
      </c>
      <c r="K364" s="24" t="s">
        <v>535</v>
      </c>
      <c r="L364" s="24" t="s">
        <v>539</v>
      </c>
      <c r="M364" s="24" t="s">
        <v>181</v>
      </c>
      <c r="N364" s="26" t="n">
        <v>0</v>
      </c>
      <c r="O364" s="26" t="n">
        <v>1400</v>
      </c>
      <c r="P364" s="26" t="n">
        <v>1400</v>
      </c>
      <c r="Q364" s="25" t="s">
        <v>182</v>
      </c>
    </row>
    <row r="365" customFormat="false" ht="15" hidden="false" customHeight="false" outlineLevel="0" collapsed="false">
      <c r="A365" s="24" t="s">
        <v>10</v>
      </c>
      <c r="B365" s="25" t="s">
        <v>5</v>
      </c>
      <c r="C365" s="24" t="s">
        <v>175</v>
      </c>
      <c r="D365" s="24" t="s">
        <v>217</v>
      </c>
      <c r="E365" s="25" t="s">
        <v>202</v>
      </c>
      <c r="F365" s="25" t="s">
        <v>144</v>
      </c>
      <c r="G365" s="26" t="n">
        <v>80900</v>
      </c>
      <c r="H365" s="26" t="n">
        <v>1100</v>
      </c>
      <c r="I365" s="26" t="n">
        <v>79800</v>
      </c>
      <c r="J365" s="25" t="s">
        <v>185</v>
      </c>
      <c r="K365" s="24" t="s">
        <v>539</v>
      </c>
      <c r="L365" s="24" t="s">
        <v>539</v>
      </c>
      <c r="M365" s="24" t="s">
        <v>193</v>
      </c>
      <c r="N365" s="26" t="n">
        <v>1100</v>
      </c>
      <c r="O365" s="26" t="n">
        <v>1100</v>
      </c>
      <c r="P365" s="26" t="n">
        <v>0</v>
      </c>
      <c r="Q365" s="24"/>
    </row>
    <row r="366" customFormat="false" ht="15" hidden="false" customHeight="false" outlineLevel="0" collapsed="false">
      <c r="A366" s="24" t="s">
        <v>10</v>
      </c>
      <c r="B366" s="25" t="s">
        <v>5</v>
      </c>
      <c r="C366" s="24" t="s">
        <v>175</v>
      </c>
      <c r="D366" s="24" t="s">
        <v>217</v>
      </c>
      <c r="E366" s="25" t="s">
        <v>542</v>
      </c>
      <c r="F366" s="25" t="s">
        <v>184</v>
      </c>
      <c r="G366" s="26" t="n">
        <v>142700</v>
      </c>
      <c r="H366" s="26" t="n">
        <v>0</v>
      </c>
      <c r="I366" s="26" t="n">
        <v>142700</v>
      </c>
      <c r="J366" s="25" t="s">
        <v>185</v>
      </c>
      <c r="K366" s="25" t="s">
        <v>538</v>
      </c>
      <c r="L366" s="24" t="s">
        <v>534</v>
      </c>
      <c r="M366" s="24" t="s">
        <v>181</v>
      </c>
      <c r="N366" s="26" t="n">
        <v>0</v>
      </c>
      <c r="O366" s="26" t="n">
        <v>2000</v>
      </c>
      <c r="P366" s="26" t="n">
        <v>2000</v>
      </c>
      <c r="Q366" s="25" t="s">
        <v>182</v>
      </c>
    </row>
    <row r="367" customFormat="false" ht="15" hidden="false" customHeight="false" outlineLevel="0" collapsed="false">
      <c r="A367" s="24" t="s">
        <v>10</v>
      </c>
      <c r="B367" s="25" t="s">
        <v>5</v>
      </c>
      <c r="C367" s="24" t="s">
        <v>175</v>
      </c>
      <c r="D367" s="24" t="s">
        <v>217</v>
      </c>
      <c r="E367" s="25" t="s">
        <v>216</v>
      </c>
      <c r="F367" s="25" t="s">
        <v>144</v>
      </c>
      <c r="G367" s="26" t="n">
        <v>77300</v>
      </c>
      <c r="H367" s="26" t="n">
        <v>5100</v>
      </c>
      <c r="I367" s="26" t="n">
        <v>72200</v>
      </c>
      <c r="J367" s="25" t="s">
        <v>185</v>
      </c>
      <c r="K367" s="25" t="s">
        <v>456</v>
      </c>
      <c r="L367" s="25" t="s">
        <v>456</v>
      </c>
      <c r="M367" s="24" t="s">
        <v>193</v>
      </c>
      <c r="N367" s="26" t="n">
        <v>5100</v>
      </c>
      <c r="O367" s="26" t="n">
        <v>5100</v>
      </c>
      <c r="P367" s="26" t="n">
        <v>0</v>
      </c>
      <c r="Q367" s="24"/>
    </row>
    <row r="368" customFormat="false" ht="15" hidden="false" customHeight="false" outlineLevel="0" collapsed="false">
      <c r="A368" s="24" t="s">
        <v>10</v>
      </c>
      <c r="B368" s="25" t="s">
        <v>5</v>
      </c>
      <c r="C368" s="24" t="s">
        <v>175</v>
      </c>
      <c r="D368" s="24" t="s">
        <v>217</v>
      </c>
      <c r="E368" s="25" t="s">
        <v>266</v>
      </c>
      <c r="F368" s="25" t="s">
        <v>157</v>
      </c>
      <c r="G368" s="26" t="n">
        <v>53600</v>
      </c>
      <c r="H368" s="26" t="n">
        <v>3600</v>
      </c>
      <c r="I368" s="26" t="n">
        <v>50000</v>
      </c>
      <c r="J368" s="25" t="s">
        <v>185</v>
      </c>
      <c r="K368" s="24" t="s">
        <v>539</v>
      </c>
      <c r="L368" s="24" t="s">
        <v>539</v>
      </c>
      <c r="M368" s="24" t="s">
        <v>193</v>
      </c>
      <c r="N368" s="26" t="n">
        <v>3600</v>
      </c>
      <c r="O368" s="26" t="n">
        <v>3600</v>
      </c>
      <c r="P368" s="26" t="n">
        <v>0</v>
      </c>
      <c r="Q368" s="24"/>
    </row>
    <row r="369" customFormat="false" ht="15" hidden="false" customHeight="false" outlineLevel="0" collapsed="false">
      <c r="A369" s="24" t="s">
        <v>10</v>
      </c>
      <c r="B369" s="25" t="s">
        <v>5</v>
      </c>
      <c r="C369" s="24" t="s">
        <v>175</v>
      </c>
      <c r="D369" s="24" t="s">
        <v>221</v>
      </c>
      <c r="E369" s="25" t="s">
        <v>352</v>
      </c>
      <c r="F369" s="25" t="s">
        <v>150</v>
      </c>
      <c r="G369" s="26" t="n">
        <v>130700</v>
      </c>
      <c r="H369" s="26" t="n">
        <v>0</v>
      </c>
      <c r="I369" s="26" t="n">
        <v>130700</v>
      </c>
      <c r="J369" s="25" t="s">
        <v>185</v>
      </c>
      <c r="K369" s="24" t="s">
        <v>534</v>
      </c>
      <c r="L369" s="24" t="s">
        <v>539</v>
      </c>
      <c r="M369" s="24" t="s">
        <v>181</v>
      </c>
      <c r="N369" s="26" t="n">
        <v>0</v>
      </c>
      <c r="O369" s="26" t="n">
        <v>1800</v>
      </c>
      <c r="P369" s="26" t="n">
        <v>1800</v>
      </c>
      <c r="Q369" s="25" t="s">
        <v>182</v>
      </c>
    </row>
    <row r="370" customFormat="false" ht="15" hidden="false" customHeight="false" outlineLevel="0" collapsed="false">
      <c r="A370" s="24" t="s">
        <v>10</v>
      </c>
      <c r="B370" s="25" t="s">
        <v>5</v>
      </c>
      <c r="C370" s="24" t="s">
        <v>175</v>
      </c>
      <c r="D370" s="24" t="s">
        <v>221</v>
      </c>
      <c r="E370" s="25" t="s">
        <v>544</v>
      </c>
      <c r="F370" s="25" t="s">
        <v>134</v>
      </c>
      <c r="G370" s="26" t="n">
        <v>68100</v>
      </c>
      <c r="H370" s="26" t="n">
        <v>1000</v>
      </c>
      <c r="I370" s="26" t="n">
        <v>67100</v>
      </c>
      <c r="J370" s="25" t="s">
        <v>185</v>
      </c>
      <c r="K370" s="25" t="s">
        <v>456</v>
      </c>
      <c r="L370" s="25" t="s">
        <v>456</v>
      </c>
      <c r="M370" s="24" t="s">
        <v>193</v>
      </c>
      <c r="N370" s="26" t="n">
        <v>1000</v>
      </c>
      <c r="O370" s="26" t="n">
        <v>1000</v>
      </c>
      <c r="P370" s="26" t="n">
        <v>0</v>
      </c>
      <c r="Q370" s="24"/>
    </row>
    <row r="371" customFormat="false" ht="15" hidden="false" customHeight="false" outlineLevel="0" collapsed="false">
      <c r="A371" s="24" t="s">
        <v>10</v>
      </c>
      <c r="B371" s="25" t="s">
        <v>5</v>
      </c>
      <c r="C371" s="24" t="s">
        <v>175</v>
      </c>
      <c r="D371" s="24" t="s">
        <v>221</v>
      </c>
      <c r="E371" s="25" t="s">
        <v>215</v>
      </c>
      <c r="F371" s="25" t="s">
        <v>145</v>
      </c>
      <c r="G371" s="26" t="n">
        <v>53900</v>
      </c>
      <c r="H371" s="26" t="n">
        <v>800</v>
      </c>
      <c r="I371" s="26" t="n">
        <v>53100</v>
      </c>
      <c r="J371" s="25" t="s">
        <v>185</v>
      </c>
      <c r="K371" s="25" t="s">
        <v>456</v>
      </c>
      <c r="L371" s="25" t="s">
        <v>456</v>
      </c>
      <c r="M371" s="24" t="s">
        <v>193</v>
      </c>
      <c r="N371" s="26" t="n">
        <v>800</v>
      </c>
      <c r="O371" s="26" t="n">
        <v>800</v>
      </c>
      <c r="P371" s="26" t="n">
        <v>0</v>
      </c>
      <c r="Q371" s="24"/>
    </row>
    <row r="372" customFormat="false" ht="15" hidden="false" customHeight="false" outlineLevel="0" collapsed="false">
      <c r="A372" s="24" t="s">
        <v>10</v>
      </c>
      <c r="B372" s="25" t="s">
        <v>5</v>
      </c>
      <c r="C372" s="24" t="s">
        <v>175</v>
      </c>
      <c r="D372" s="24" t="s">
        <v>221</v>
      </c>
      <c r="E372" s="25" t="s">
        <v>199</v>
      </c>
      <c r="F372" s="25" t="s">
        <v>200</v>
      </c>
      <c r="G372" s="26" t="n">
        <v>95100</v>
      </c>
      <c r="H372" s="26" t="n">
        <v>0</v>
      </c>
      <c r="I372" s="26" t="n">
        <v>95100</v>
      </c>
      <c r="J372" s="25" t="s">
        <v>185</v>
      </c>
      <c r="K372" s="25" t="s">
        <v>538</v>
      </c>
      <c r="L372" s="24" t="s">
        <v>534</v>
      </c>
      <c r="M372" s="24" t="s">
        <v>181</v>
      </c>
      <c r="N372" s="26" t="n">
        <v>0</v>
      </c>
      <c r="O372" s="26" t="n">
        <v>1300</v>
      </c>
      <c r="P372" s="26" t="n">
        <v>1300</v>
      </c>
      <c r="Q372" s="25" t="s">
        <v>182</v>
      </c>
    </row>
    <row r="373" customFormat="false" ht="15" hidden="false" customHeight="false" outlineLevel="0" collapsed="false">
      <c r="A373" s="24" t="s">
        <v>10</v>
      </c>
      <c r="B373" s="25" t="s">
        <v>5</v>
      </c>
      <c r="C373" s="24" t="s">
        <v>175</v>
      </c>
      <c r="D373" s="24" t="s">
        <v>221</v>
      </c>
      <c r="E373" s="25" t="s">
        <v>222</v>
      </c>
      <c r="F373" s="25" t="s">
        <v>137</v>
      </c>
      <c r="G373" s="26" t="n">
        <v>51500</v>
      </c>
      <c r="H373" s="26" t="n">
        <v>3400</v>
      </c>
      <c r="I373" s="26" t="n">
        <v>48100</v>
      </c>
      <c r="J373" s="25" t="s">
        <v>185</v>
      </c>
      <c r="K373" s="25" t="s">
        <v>456</v>
      </c>
      <c r="L373" s="25" t="s">
        <v>456</v>
      </c>
      <c r="M373" s="24" t="s">
        <v>193</v>
      </c>
      <c r="N373" s="26" t="n">
        <v>3400</v>
      </c>
      <c r="O373" s="26" t="n">
        <v>3400</v>
      </c>
      <c r="P373" s="26" t="n">
        <v>0</v>
      </c>
      <c r="Q373" s="24"/>
    </row>
    <row r="374" customFormat="false" ht="15" hidden="false" customHeight="false" outlineLevel="0" collapsed="false">
      <c r="A374" s="24" t="s">
        <v>10</v>
      </c>
      <c r="B374" s="25" t="s">
        <v>5</v>
      </c>
      <c r="C374" s="24" t="s">
        <v>175</v>
      </c>
      <c r="D374" s="24" t="s">
        <v>221</v>
      </c>
      <c r="E374" s="25" t="s">
        <v>211</v>
      </c>
      <c r="F374" s="25" t="s">
        <v>212</v>
      </c>
      <c r="G374" s="26" t="n">
        <v>35700</v>
      </c>
      <c r="H374" s="26" t="n">
        <v>500</v>
      </c>
      <c r="I374" s="26" t="n">
        <v>35200</v>
      </c>
      <c r="J374" s="25" t="s">
        <v>185</v>
      </c>
      <c r="K374" s="25" t="s">
        <v>456</v>
      </c>
      <c r="L374" s="25" t="s">
        <v>456</v>
      </c>
      <c r="M374" s="24" t="s">
        <v>193</v>
      </c>
      <c r="N374" s="26" t="n">
        <v>500</v>
      </c>
      <c r="O374" s="26" t="n">
        <v>500</v>
      </c>
      <c r="P374" s="26" t="n">
        <v>0</v>
      </c>
      <c r="Q374" s="24"/>
    </row>
    <row r="375" customFormat="false" ht="15" hidden="false" customHeight="false" outlineLevel="0" collapsed="false">
      <c r="A375" s="24" t="s">
        <v>10</v>
      </c>
      <c r="B375" s="25" t="s">
        <v>5</v>
      </c>
      <c r="C375" s="24" t="s">
        <v>225</v>
      </c>
      <c r="D375" s="24" t="s">
        <v>545</v>
      </c>
      <c r="E375" s="25" t="s">
        <v>194</v>
      </c>
      <c r="F375" s="25" t="s">
        <v>145</v>
      </c>
      <c r="G375" s="26" t="n">
        <v>42300</v>
      </c>
      <c r="H375" s="26" t="n">
        <v>0</v>
      </c>
      <c r="I375" s="26" t="n">
        <v>42300</v>
      </c>
      <c r="J375" s="25" t="s">
        <v>185</v>
      </c>
      <c r="K375" s="25" t="s">
        <v>456</v>
      </c>
      <c r="L375" s="25" t="s">
        <v>456</v>
      </c>
      <c r="M375" s="24" t="s">
        <v>186</v>
      </c>
      <c r="N375" s="26" t="n">
        <v>0</v>
      </c>
      <c r="O375" s="26" t="n">
        <v>600</v>
      </c>
      <c r="P375" s="26" t="n">
        <v>600</v>
      </c>
      <c r="Q375" s="25" t="s">
        <v>187</v>
      </c>
    </row>
    <row r="376" customFormat="false" ht="15" hidden="false" customHeight="false" outlineLevel="0" collapsed="false">
      <c r="A376" s="24" t="s">
        <v>10</v>
      </c>
      <c r="B376" s="25" t="s">
        <v>5</v>
      </c>
      <c r="C376" s="24" t="s">
        <v>225</v>
      </c>
      <c r="D376" s="24" t="s">
        <v>546</v>
      </c>
      <c r="E376" s="25" t="s">
        <v>177</v>
      </c>
      <c r="F376" s="25" t="s">
        <v>140</v>
      </c>
      <c r="G376" s="26" t="n">
        <v>132400</v>
      </c>
      <c r="H376" s="26" t="n">
        <v>0</v>
      </c>
      <c r="I376" s="26" t="n">
        <v>132400</v>
      </c>
      <c r="J376" s="25" t="s">
        <v>185</v>
      </c>
      <c r="K376" s="24" t="s">
        <v>534</v>
      </c>
      <c r="L376" s="25" t="s">
        <v>456</v>
      </c>
      <c r="M376" s="24" t="s">
        <v>181</v>
      </c>
      <c r="N376" s="26" t="n">
        <v>0</v>
      </c>
      <c r="O376" s="26" t="n">
        <v>1800</v>
      </c>
      <c r="P376" s="26" t="n">
        <v>1800</v>
      </c>
      <c r="Q376" s="25" t="s">
        <v>182</v>
      </c>
    </row>
    <row r="377" customFormat="false" ht="15" hidden="false" customHeight="false" outlineLevel="0" collapsed="false">
      <c r="A377" s="24" t="s">
        <v>10</v>
      </c>
      <c r="B377" s="25" t="s">
        <v>5</v>
      </c>
      <c r="C377" s="24" t="s">
        <v>225</v>
      </c>
      <c r="D377" s="24" t="s">
        <v>547</v>
      </c>
      <c r="E377" s="25" t="s">
        <v>537</v>
      </c>
      <c r="F377" s="25" t="s">
        <v>184</v>
      </c>
      <c r="G377" s="26" t="n">
        <v>631600</v>
      </c>
      <c r="H377" s="26" t="n">
        <v>0</v>
      </c>
      <c r="I377" s="26" t="n">
        <v>631600</v>
      </c>
      <c r="J377" s="25" t="s">
        <v>185</v>
      </c>
      <c r="K377" s="25" t="s">
        <v>538</v>
      </c>
      <c r="L377" s="24" t="s">
        <v>534</v>
      </c>
      <c r="M377" s="24" t="s">
        <v>181</v>
      </c>
      <c r="N377" s="26" t="n">
        <v>0</v>
      </c>
      <c r="O377" s="26" t="n">
        <v>8500</v>
      </c>
      <c r="P377" s="26" t="n">
        <v>8500</v>
      </c>
      <c r="Q377" s="25" t="s">
        <v>182</v>
      </c>
    </row>
    <row r="378" customFormat="false" ht="15" hidden="false" customHeight="false" outlineLevel="0" collapsed="false">
      <c r="A378" s="24" t="s">
        <v>10</v>
      </c>
      <c r="B378" s="25" t="s">
        <v>5</v>
      </c>
      <c r="C378" s="24" t="s">
        <v>225</v>
      </c>
      <c r="D378" s="24" t="s">
        <v>548</v>
      </c>
      <c r="E378" s="25" t="s">
        <v>541</v>
      </c>
      <c r="F378" s="25" t="s">
        <v>184</v>
      </c>
      <c r="G378" s="26" t="n">
        <v>571200</v>
      </c>
      <c r="H378" s="26" t="n">
        <v>0</v>
      </c>
      <c r="I378" s="26" t="n">
        <v>571200</v>
      </c>
      <c r="J378" s="25" t="s">
        <v>185</v>
      </c>
      <c r="K378" s="25" t="s">
        <v>538</v>
      </c>
      <c r="L378" s="24" t="s">
        <v>534</v>
      </c>
      <c r="M378" s="24" t="s">
        <v>181</v>
      </c>
      <c r="N378" s="26" t="n">
        <v>0</v>
      </c>
      <c r="O378" s="26" t="n">
        <v>7700</v>
      </c>
      <c r="P378" s="26" t="n">
        <v>7700</v>
      </c>
      <c r="Q378" s="25" t="s">
        <v>182</v>
      </c>
    </row>
    <row r="379" customFormat="false" ht="15" hidden="false" customHeight="false" outlineLevel="0" collapsed="false">
      <c r="A379" s="24" t="s">
        <v>10</v>
      </c>
      <c r="B379" s="25" t="s">
        <v>5</v>
      </c>
      <c r="C379" s="24" t="s">
        <v>225</v>
      </c>
      <c r="D379" s="24" t="s">
        <v>549</v>
      </c>
      <c r="E379" s="25" t="s">
        <v>542</v>
      </c>
      <c r="F379" s="25" t="s">
        <v>184</v>
      </c>
      <c r="G379" s="26" t="n">
        <v>270500</v>
      </c>
      <c r="H379" s="26" t="n">
        <v>0</v>
      </c>
      <c r="I379" s="26" t="n">
        <v>270500</v>
      </c>
      <c r="J379" s="25" t="s">
        <v>185</v>
      </c>
      <c r="K379" s="25" t="s">
        <v>538</v>
      </c>
      <c r="L379" s="24" t="s">
        <v>534</v>
      </c>
      <c r="M379" s="24" t="s">
        <v>181</v>
      </c>
      <c r="N379" s="26" t="n">
        <v>0</v>
      </c>
      <c r="O379" s="26" t="n">
        <v>3600</v>
      </c>
      <c r="P379" s="26" t="n">
        <v>3600</v>
      </c>
      <c r="Q379" s="25" t="s">
        <v>182</v>
      </c>
    </row>
    <row r="380" customFormat="false" ht="15" hidden="false" customHeight="false" outlineLevel="0" collapsed="false">
      <c r="A380" s="24" t="s">
        <v>10</v>
      </c>
      <c r="B380" s="25" t="s">
        <v>5</v>
      </c>
      <c r="C380" s="24" t="s">
        <v>225</v>
      </c>
      <c r="D380" s="24" t="s">
        <v>550</v>
      </c>
      <c r="E380" s="25" t="s">
        <v>540</v>
      </c>
      <c r="F380" s="25" t="s">
        <v>143</v>
      </c>
      <c r="G380" s="26" t="n">
        <v>27900</v>
      </c>
      <c r="H380" s="26" t="n">
        <v>0</v>
      </c>
      <c r="I380" s="26" t="n">
        <v>27900</v>
      </c>
      <c r="J380" s="25" t="s">
        <v>185</v>
      </c>
      <c r="K380" s="24" t="s">
        <v>535</v>
      </c>
      <c r="L380" s="25" t="s">
        <v>456</v>
      </c>
      <c r="M380" s="24" t="s">
        <v>181</v>
      </c>
      <c r="N380" s="26" t="n">
        <v>0</v>
      </c>
      <c r="O380" s="26" t="n">
        <v>400</v>
      </c>
      <c r="P380" s="26" t="n">
        <v>400</v>
      </c>
      <c r="Q380" s="25" t="s">
        <v>182</v>
      </c>
    </row>
    <row r="381" customFormat="false" ht="15" hidden="false" customHeight="false" outlineLevel="0" collapsed="false">
      <c r="A381" s="24" t="s">
        <v>10</v>
      </c>
      <c r="B381" s="25" t="s">
        <v>5</v>
      </c>
      <c r="C381" s="24" t="s">
        <v>225</v>
      </c>
      <c r="D381" s="24" t="s">
        <v>551</v>
      </c>
      <c r="E381" s="25" t="s">
        <v>211</v>
      </c>
      <c r="F381" s="25" t="s">
        <v>212</v>
      </c>
      <c r="G381" s="26" t="n">
        <v>13600</v>
      </c>
      <c r="H381" s="26" t="n">
        <v>200</v>
      </c>
      <c r="I381" s="26" t="n">
        <v>13400</v>
      </c>
      <c r="J381" s="25" t="s">
        <v>185</v>
      </c>
      <c r="K381" s="24" t="s">
        <v>535</v>
      </c>
      <c r="L381" s="24" t="s">
        <v>535</v>
      </c>
      <c r="M381" s="24" t="s">
        <v>193</v>
      </c>
      <c r="N381" s="26" t="n">
        <v>200</v>
      </c>
      <c r="O381" s="26" t="n">
        <v>200</v>
      </c>
      <c r="P381" s="26" t="n">
        <v>0</v>
      </c>
      <c r="Q381" s="24"/>
    </row>
    <row r="382" customFormat="false" ht="15" hidden="false" customHeight="false" outlineLevel="0" collapsed="false">
      <c r="A382" s="24" t="s">
        <v>10</v>
      </c>
      <c r="B382" s="25" t="s">
        <v>5</v>
      </c>
      <c r="C382" s="24" t="s">
        <v>225</v>
      </c>
      <c r="D382" s="24" t="s">
        <v>552</v>
      </c>
      <c r="E382" s="25" t="s">
        <v>48</v>
      </c>
      <c r="F382" s="25" t="s">
        <v>218</v>
      </c>
      <c r="G382" s="26" t="n">
        <v>91100</v>
      </c>
      <c r="H382" s="26" t="n">
        <v>5700</v>
      </c>
      <c r="I382" s="26" t="n">
        <v>85400</v>
      </c>
      <c r="J382" s="25" t="s">
        <v>185</v>
      </c>
      <c r="K382" s="25" t="s">
        <v>456</v>
      </c>
      <c r="L382" s="25" t="s">
        <v>456</v>
      </c>
      <c r="M382" s="24" t="s">
        <v>193</v>
      </c>
      <c r="N382" s="26" t="n">
        <v>5700</v>
      </c>
      <c r="O382" s="26" t="n">
        <v>5700</v>
      </c>
      <c r="P382" s="26" t="n">
        <v>0</v>
      </c>
      <c r="Q382" s="24"/>
    </row>
    <row r="383" customFormat="false" ht="15" hidden="false" customHeight="false" outlineLevel="0" collapsed="false">
      <c r="A383" s="24" t="s">
        <v>10</v>
      </c>
      <c r="B383" s="25" t="s">
        <v>5</v>
      </c>
      <c r="C383" s="24" t="s">
        <v>225</v>
      </c>
      <c r="D383" s="24" t="s">
        <v>553</v>
      </c>
      <c r="E383" s="25" t="s">
        <v>272</v>
      </c>
      <c r="F383" s="25" t="s">
        <v>218</v>
      </c>
      <c r="G383" s="26" t="n">
        <v>118800</v>
      </c>
      <c r="H383" s="26" t="n">
        <v>0</v>
      </c>
      <c r="I383" s="26" t="n">
        <v>118800</v>
      </c>
      <c r="J383" s="25" t="s">
        <v>185</v>
      </c>
      <c r="K383" s="24" t="s">
        <v>534</v>
      </c>
      <c r="L383" s="25" t="s">
        <v>456</v>
      </c>
      <c r="M383" s="24" t="s">
        <v>181</v>
      </c>
      <c r="N383" s="26" t="n">
        <v>0</v>
      </c>
      <c r="O383" s="26" t="n">
        <v>1600</v>
      </c>
      <c r="P383" s="26" t="n">
        <v>1600</v>
      </c>
      <c r="Q383" s="25" t="s">
        <v>182</v>
      </c>
    </row>
    <row r="384" customFormat="false" ht="15" hidden="false" customHeight="false" outlineLevel="0" collapsed="false">
      <c r="A384" s="24" t="s">
        <v>10</v>
      </c>
      <c r="B384" s="25" t="s">
        <v>5</v>
      </c>
      <c r="C384" s="24" t="s">
        <v>225</v>
      </c>
      <c r="D384" s="24" t="s">
        <v>554</v>
      </c>
      <c r="E384" s="25" t="s">
        <v>537</v>
      </c>
      <c r="F384" s="25" t="s">
        <v>184</v>
      </c>
      <c r="G384" s="26" t="n">
        <v>177400</v>
      </c>
      <c r="H384" s="26" t="n">
        <v>0</v>
      </c>
      <c r="I384" s="26" t="n">
        <v>177400</v>
      </c>
      <c r="J384" s="25" t="s">
        <v>185</v>
      </c>
      <c r="K384" s="24" t="s">
        <v>539</v>
      </c>
      <c r="L384" s="24" t="s">
        <v>535</v>
      </c>
      <c r="M384" s="24" t="s">
        <v>181</v>
      </c>
      <c r="N384" s="26" t="n">
        <v>0</v>
      </c>
      <c r="O384" s="26" t="n">
        <v>2400</v>
      </c>
      <c r="P384" s="26" t="n">
        <v>2400</v>
      </c>
      <c r="Q384" s="25" t="s">
        <v>182</v>
      </c>
    </row>
    <row r="385" customFormat="false" ht="15" hidden="false" customHeight="false" outlineLevel="0" collapsed="false">
      <c r="A385" s="24" t="s">
        <v>10</v>
      </c>
      <c r="B385" s="25" t="s">
        <v>5</v>
      </c>
      <c r="C385" s="24" t="s">
        <v>225</v>
      </c>
      <c r="D385" s="24" t="s">
        <v>555</v>
      </c>
      <c r="E385" s="24" t="s">
        <v>209</v>
      </c>
      <c r="F385" s="25" t="s">
        <v>142</v>
      </c>
      <c r="G385" s="26" t="n">
        <v>73200</v>
      </c>
      <c r="H385" s="26" t="n">
        <v>0</v>
      </c>
      <c r="I385" s="26" t="n">
        <v>73200</v>
      </c>
      <c r="J385" s="25" t="s">
        <v>185</v>
      </c>
      <c r="K385" s="24" t="s">
        <v>539</v>
      </c>
      <c r="L385" s="25" t="s">
        <v>456</v>
      </c>
      <c r="M385" s="24" t="s">
        <v>181</v>
      </c>
      <c r="N385" s="26" t="n">
        <v>0</v>
      </c>
      <c r="O385" s="26" t="n">
        <v>1000</v>
      </c>
      <c r="P385" s="26" t="n">
        <v>1000</v>
      </c>
      <c r="Q385" s="25" t="s">
        <v>182</v>
      </c>
    </row>
    <row r="386" customFormat="false" ht="15" hidden="false" customHeight="false" outlineLevel="0" collapsed="false">
      <c r="A386" s="24" t="s">
        <v>10</v>
      </c>
      <c r="B386" s="25" t="s">
        <v>5</v>
      </c>
      <c r="C386" s="24" t="s">
        <v>225</v>
      </c>
      <c r="D386" s="24" t="s">
        <v>556</v>
      </c>
      <c r="E386" s="24" t="s">
        <v>358</v>
      </c>
      <c r="F386" s="25" t="s">
        <v>135</v>
      </c>
      <c r="G386" s="26" t="n">
        <v>76000</v>
      </c>
      <c r="H386" s="26" t="n">
        <v>4800</v>
      </c>
      <c r="I386" s="26" t="n">
        <v>71200</v>
      </c>
      <c r="J386" s="25" t="s">
        <v>185</v>
      </c>
      <c r="K386" s="25" t="s">
        <v>456</v>
      </c>
      <c r="L386" s="25" t="s">
        <v>456</v>
      </c>
      <c r="M386" s="24" t="s">
        <v>193</v>
      </c>
      <c r="N386" s="26" t="n">
        <v>4800</v>
      </c>
      <c r="O386" s="26" t="n">
        <v>4800</v>
      </c>
      <c r="P386" s="26" t="n">
        <v>0</v>
      </c>
      <c r="Q386" s="24"/>
    </row>
    <row r="387" customFormat="false" ht="15" hidden="false" customHeight="false" outlineLevel="0" collapsed="false">
      <c r="A387" s="24" t="s">
        <v>10</v>
      </c>
      <c r="B387" s="25" t="s">
        <v>5</v>
      </c>
      <c r="C387" s="24" t="s">
        <v>225</v>
      </c>
      <c r="D387" s="24" t="s">
        <v>557</v>
      </c>
      <c r="E387" s="25" t="s">
        <v>315</v>
      </c>
      <c r="F387" s="25" t="s">
        <v>218</v>
      </c>
      <c r="G387" s="26" t="n">
        <v>101200</v>
      </c>
      <c r="H387" s="26" t="n">
        <v>0</v>
      </c>
      <c r="I387" s="26" t="n">
        <v>101200</v>
      </c>
      <c r="J387" s="25" t="s">
        <v>185</v>
      </c>
      <c r="K387" s="24" t="s">
        <v>534</v>
      </c>
      <c r="L387" s="25" t="s">
        <v>456</v>
      </c>
      <c r="M387" s="24" t="s">
        <v>181</v>
      </c>
      <c r="N387" s="26" t="n">
        <v>0</v>
      </c>
      <c r="O387" s="26" t="n">
        <v>1400</v>
      </c>
      <c r="P387" s="26" t="n">
        <v>1400</v>
      </c>
      <c r="Q387" s="25" t="s">
        <v>182</v>
      </c>
    </row>
    <row r="388" customFormat="false" ht="15" hidden="false" customHeight="false" outlineLevel="0" collapsed="false">
      <c r="A388" s="24" t="s">
        <v>10</v>
      </c>
      <c r="B388" s="25" t="s">
        <v>5</v>
      </c>
      <c r="C388" s="24" t="s">
        <v>225</v>
      </c>
      <c r="D388" s="24" t="s">
        <v>558</v>
      </c>
      <c r="E388" s="25" t="s">
        <v>541</v>
      </c>
      <c r="F388" s="25" t="s">
        <v>184</v>
      </c>
      <c r="G388" s="26" t="n">
        <v>71800</v>
      </c>
      <c r="H388" s="26" t="n">
        <v>0</v>
      </c>
      <c r="I388" s="26" t="n">
        <v>71800</v>
      </c>
      <c r="J388" s="25" t="s">
        <v>185</v>
      </c>
      <c r="K388" s="25" t="s">
        <v>538</v>
      </c>
      <c r="L388" s="24" t="s">
        <v>536</v>
      </c>
      <c r="M388" s="24" t="s">
        <v>181</v>
      </c>
      <c r="N388" s="26" t="n">
        <v>0</v>
      </c>
      <c r="O388" s="26" t="n">
        <v>1000</v>
      </c>
      <c r="P388" s="26" t="n">
        <v>1000</v>
      </c>
      <c r="Q388" s="25" t="s">
        <v>182</v>
      </c>
    </row>
    <row r="389" customFormat="false" ht="15" hidden="false" customHeight="false" outlineLevel="0" collapsed="false">
      <c r="A389" s="24" t="s">
        <v>10</v>
      </c>
      <c r="B389" s="25" t="s">
        <v>5</v>
      </c>
      <c r="C389" s="24" t="s">
        <v>225</v>
      </c>
      <c r="D389" s="24" t="s">
        <v>559</v>
      </c>
      <c r="E389" s="25" t="s">
        <v>195</v>
      </c>
      <c r="F389" s="25" t="s">
        <v>144</v>
      </c>
      <c r="G389" s="26" t="n">
        <v>18800</v>
      </c>
      <c r="H389" s="26" t="n">
        <v>0</v>
      </c>
      <c r="I389" s="26" t="n">
        <v>18800</v>
      </c>
      <c r="J389" s="25" t="s">
        <v>185</v>
      </c>
      <c r="K389" s="24" t="s">
        <v>535</v>
      </c>
      <c r="L389" s="25" t="s">
        <v>456</v>
      </c>
      <c r="M389" s="24" t="s">
        <v>181</v>
      </c>
      <c r="N389" s="26" t="n">
        <v>0</v>
      </c>
      <c r="O389" s="26" t="n">
        <v>300</v>
      </c>
      <c r="P389" s="26" t="n">
        <v>300</v>
      </c>
      <c r="Q389" s="25" t="s">
        <v>182</v>
      </c>
    </row>
    <row r="390" customFormat="false" ht="15" hidden="false" customHeight="false" outlineLevel="0" collapsed="false">
      <c r="A390" s="24" t="s">
        <v>10</v>
      </c>
      <c r="B390" s="25" t="s">
        <v>5</v>
      </c>
      <c r="C390" s="24" t="s">
        <v>225</v>
      </c>
      <c r="D390" s="24" t="s">
        <v>560</v>
      </c>
      <c r="E390" s="25" t="s">
        <v>188</v>
      </c>
      <c r="F390" s="25" t="s">
        <v>189</v>
      </c>
      <c r="G390" s="26" t="n">
        <v>8600</v>
      </c>
      <c r="H390" s="26" t="n">
        <v>100</v>
      </c>
      <c r="I390" s="26" t="n">
        <v>8500</v>
      </c>
      <c r="J390" s="25" t="s">
        <v>185</v>
      </c>
      <c r="K390" s="24" t="s">
        <v>535</v>
      </c>
      <c r="L390" s="24" t="s">
        <v>535</v>
      </c>
      <c r="M390" s="24" t="s">
        <v>193</v>
      </c>
      <c r="N390" s="26" t="n">
        <v>100</v>
      </c>
      <c r="O390" s="26" t="n">
        <v>100</v>
      </c>
      <c r="P390" s="26" t="n">
        <v>0</v>
      </c>
      <c r="Q390" s="24"/>
    </row>
    <row r="391" customFormat="false" ht="15" hidden="false" customHeight="false" outlineLevel="0" collapsed="false">
      <c r="A391" s="24" t="s">
        <v>10</v>
      </c>
      <c r="B391" s="25" t="s">
        <v>5</v>
      </c>
      <c r="C391" s="24" t="s">
        <v>225</v>
      </c>
      <c r="D391" s="24" t="s">
        <v>561</v>
      </c>
      <c r="E391" s="25" t="s">
        <v>177</v>
      </c>
      <c r="F391" s="25" t="s">
        <v>140</v>
      </c>
      <c r="G391" s="26" t="n">
        <v>74800</v>
      </c>
      <c r="H391" s="26" t="n">
        <v>4700</v>
      </c>
      <c r="I391" s="26" t="n">
        <v>70100</v>
      </c>
      <c r="J391" s="25" t="s">
        <v>185</v>
      </c>
      <c r="K391" s="25" t="s">
        <v>456</v>
      </c>
      <c r="L391" s="25" t="s">
        <v>456</v>
      </c>
      <c r="M391" s="24" t="s">
        <v>193</v>
      </c>
      <c r="N391" s="26" t="n">
        <v>4700</v>
      </c>
      <c r="O391" s="26" t="n">
        <v>4700</v>
      </c>
      <c r="P391" s="26" t="n">
        <v>0</v>
      </c>
      <c r="Q391" s="24"/>
    </row>
    <row r="392" customFormat="false" ht="15" hidden="false" customHeight="false" outlineLevel="0" collapsed="false">
      <c r="A392" s="24" t="s">
        <v>10</v>
      </c>
      <c r="B392" s="25" t="s">
        <v>5</v>
      </c>
      <c r="C392" s="24" t="s">
        <v>225</v>
      </c>
      <c r="D392" s="24" t="s">
        <v>562</v>
      </c>
      <c r="E392" s="25" t="s">
        <v>462</v>
      </c>
      <c r="F392" s="25" t="s">
        <v>218</v>
      </c>
      <c r="G392" s="26" t="n">
        <v>87000</v>
      </c>
      <c r="H392" s="26" t="n">
        <v>0</v>
      </c>
      <c r="I392" s="26" t="n">
        <v>87000</v>
      </c>
      <c r="J392" s="25" t="s">
        <v>185</v>
      </c>
      <c r="K392" s="24" t="s">
        <v>534</v>
      </c>
      <c r="L392" s="25" t="s">
        <v>456</v>
      </c>
      <c r="M392" s="24" t="s">
        <v>181</v>
      </c>
      <c r="N392" s="26" t="n">
        <v>0</v>
      </c>
      <c r="O392" s="26" t="n">
        <v>1200</v>
      </c>
      <c r="P392" s="26" t="n">
        <v>1200</v>
      </c>
      <c r="Q392" s="25" t="s">
        <v>182</v>
      </c>
    </row>
    <row r="393" customFormat="false" ht="15" hidden="false" customHeight="false" outlineLevel="0" collapsed="false">
      <c r="A393" s="24" t="s">
        <v>10</v>
      </c>
      <c r="B393" s="25" t="s">
        <v>5</v>
      </c>
      <c r="C393" s="24" t="s">
        <v>225</v>
      </c>
      <c r="D393" s="24" t="s">
        <v>563</v>
      </c>
      <c r="E393" s="25" t="s">
        <v>214</v>
      </c>
      <c r="F393" s="25" t="s">
        <v>138</v>
      </c>
      <c r="G393" s="26" t="n">
        <v>40700</v>
      </c>
      <c r="H393" s="26" t="n">
        <v>0</v>
      </c>
      <c r="I393" s="26" t="n">
        <v>40700</v>
      </c>
      <c r="J393" s="25" t="s">
        <v>185</v>
      </c>
      <c r="K393" s="24" t="s">
        <v>539</v>
      </c>
      <c r="L393" s="24" t="s">
        <v>535</v>
      </c>
      <c r="M393" s="24" t="s">
        <v>181</v>
      </c>
      <c r="N393" s="26" t="n">
        <v>0</v>
      </c>
      <c r="O393" s="26" t="n">
        <v>600</v>
      </c>
      <c r="P393" s="26" t="n">
        <v>600</v>
      </c>
      <c r="Q393" s="25" t="s">
        <v>182</v>
      </c>
    </row>
    <row r="394" customFormat="false" ht="15" hidden="false" customHeight="false" outlineLevel="0" collapsed="false">
      <c r="A394" s="24" t="s">
        <v>10</v>
      </c>
      <c r="B394" s="25" t="s">
        <v>5</v>
      </c>
      <c r="C394" s="24" t="s">
        <v>225</v>
      </c>
      <c r="D394" s="24" t="s">
        <v>564</v>
      </c>
      <c r="E394" s="25" t="s">
        <v>201</v>
      </c>
      <c r="F394" s="25" t="s">
        <v>134</v>
      </c>
      <c r="G394" s="26" t="n">
        <v>228600</v>
      </c>
      <c r="H394" s="26" t="n">
        <v>0</v>
      </c>
      <c r="I394" s="26" t="n">
        <v>228600</v>
      </c>
      <c r="J394" s="25" t="s">
        <v>185</v>
      </c>
      <c r="K394" s="24" t="s">
        <v>535</v>
      </c>
      <c r="L394" s="24" t="s">
        <v>536</v>
      </c>
      <c r="M394" s="24" t="s">
        <v>181</v>
      </c>
      <c r="N394" s="26" t="n">
        <v>0</v>
      </c>
      <c r="O394" s="26" t="n">
        <v>3100</v>
      </c>
      <c r="P394" s="26" t="n">
        <v>3100</v>
      </c>
      <c r="Q394" s="25" t="s">
        <v>182</v>
      </c>
    </row>
    <row r="395" customFormat="false" ht="15" hidden="false" customHeight="false" outlineLevel="0" collapsed="false">
      <c r="A395" s="24" t="s">
        <v>10</v>
      </c>
      <c r="B395" s="25" t="s">
        <v>5</v>
      </c>
      <c r="C395" s="24" t="s">
        <v>225</v>
      </c>
      <c r="D395" s="24" t="s">
        <v>565</v>
      </c>
      <c r="E395" s="25" t="s">
        <v>459</v>
      </c>
      <c r="F395" s="25" t="s">
        <v>134</v>
      </c>
      <c r="G395" s="26" t="n">
        <v>252700</v>
      </c>
      <c r="H395" s="26" t="n">
        <v>0</v>
      </c>
      <c r="I395" s="26" t="n">
        <v>252700</v>
      </c>
      <c r="J395" s="25" t="s">
        <v>185</v>
      </c>
      <c r="K395" s="24" t="s">
        <v>535</v>
      </c>
      <c r="L395" s="24" t="s">
        <v>536</v>
      </c>
      <c r="M395" s="24" t="s">
        <v>181</v>
      </c>
      <c r="N395" s="26" t="n">
        <v>0</v>
      </c>
      <c r="O395" s="26" t="n">
        <v>3400</v>
      </c>
      <c r="P395" s="26" t="n">
        <v>3400</v>
      </c>
      <c r="Q395" s="25" t="s">
        <v>182</v>
      </c>
    </row>
    <row r="396" customFormat="false" ht="15" hidden="false" customHeight="false" outlineLevel="0" collapsed="false">
      <c r="A396" s="24" t="s">
        <v>10</v>
      </c>
      <c r="B396" s="25" t="s">
        <v>5</v>
      </c>
      <c r="C396" s="24" t="s">
        <v>225</v>
      </c>
      <c r="D396" s="24" t="s">
        <v>566</v>
      </c>
      <c r="E396" s="25" t="s">
        <v>192</v>
      </c>
      <c r="F396" s="25" t="s">
        <v>147</v>
      </c>
      <c r="G396" s="26" t="n">
        <v>50700</v>
      </c>
      <c r="H396" s="26" t="n">
        <v>3200</v>
      </c>
      <c r="I396" s="26" t="n">
        <v>47500</v>
      </c>
      <c r="J396" s="25" t="s">
        <v>185</v>
      </c>
      <c r="K396" s="25" t="s">
        <v>456</v>
      </c>
      <c r="L396" s="25" t="s">
        <v>456</v>
      </c>
      <c r="M396" s="24" t="s">
        <v>193</v>
      </c>
      <c r="N396" s="26" t="n">
        <v>3200</v>
      </c>
      <c r="O396" s="26" t="n">
        <v>3200</v>
      </c>
      <c r="P396" s="26" t="n">
        <v>0</v>
      </c>
      <c r="Q396" s="24"/>
    </row>
    <row r="397" customFormat="false" ht="15" hidden="false" customHeight="false" outlineLevel="0" collapsed="false">
      <c r="A397" s="24" t="s">
        <v>10</v>
      </c>
      <c r="B397" s="25" t="s">
        <v>5</v>
      </c>
      <c r="C397" s="24" t="s">
        <v>225</v>
      </c>
      <c r="D397" s="24" t="s">
        <v>567</v>
      </c>
      <c r="E397" s="24" t="s">
        <v>361</v>
      </c>
      <c r="F397" s="25" t="s">
        <v>135</v>
      </c>
      <c r="G397" s="26" t="n">
        <v>90100</v>
      </c>
      <c r="H397" s="26" t="n">
        <v>0</v>
      </c>
      <c r="I397" s="26" t="n">
        <v>90100</v>
      </c>
      <c r="J397" s="25" t="s">
        <v>185</v>
      </c>
      <c r="K397" s="24" t="s">
        <v>534</v>
      </c>
      <c r="L397" s="25" t="s">
        <v>456</v>
      </c>
      <c r="M397" s="24" t="s">
        <v>181</v>
      </c>
      <c r="N397" s="26" t="n">
        <v>0</v>
      </c>
      <c r="O397" s="26" t="n">
        <v>1200</v>
      </c>
      <c r="P397" s="26" t="n">
        <v>1200</v>
      </c>
      <c r="Q397" s="25" t="s">
        <v>182</v>
      </c>
    </row>
    <row r="398" customFormat="false" ht="15" hidden="false" customHeight="false" outlineLevel="0" collapsed="false">
      <c r="A398" s="24" t="s">
        <v>10</v>
      </c>
      <c r="B398" s="25" t="s">
        <v>5</v>
      </c>
      <c r="C398" s="24" t="s">
        <v>225</v>
      </c>
      <c r="D398" s="24" t="s">
        <v>568</v>
      </c>
      <c r="E398" s="25" t="s">
        <v>202</v>
      </c>
      <c r="F398" s="25" t="s">
        <v>144</v>
      </c>
      <c r="G398" s="26" t="n">
        <v>8900</v>
      </c>
      <c r="H398" s="26" t="n">
        <v>100</v>
      </c>
      <c r="I398" s="26" t="n">
        <v>8800</v>
      </c>
      <c r="J398" s="25" t="s">
        <v>185</v>
      </c>
      <c r="K398" s="25" t="s">
        <v>456</v>
      </c>
      <c r="L398" s="25" t="s">
        <v>456</v>
      </c>
      <c r="M398" s="24" t="s">
        <v>193</v>
      </c>
      <c r="N398" s="26" t="n">
        <v>100</v>
      </c>
      <c r="O398" s="26" t="n">
        <v>100</v>
      </c>
      <c r="P398" s="26" t="n">
        <v>0</v>
      </c>
      <c r="Q398" s="24"/>
    </row>
    <row r="399" customFormat="false" ht="15" hidden="false" customHeight="false" outlineLevel="0" collapsed="false">
      <c r="A399" s="24" t="s">
        <v>10</v>
      </c>
      <c r="B399" s="25" t="s">
        <v>5</v>
      </c>
      <c r="C399" s="24" t="s">
        <v>225</v>
      </c>
      <c r="D399" s="24" t="s">
        <v>569</v>
      </c>
      <c r="E399" s="25" t="s">
        <v>206</v>
      </c>
      <c r="F399" s="25" t="s">
        <v>137</v>
      </c>
      <c r="G399" s="26" t="n">
        <v>14200</v>
      </c>
      <c r="H399" s="26" t="n">
        <v>200</v>
      </c>
      <c r="I399" s="26" t="n">
        <v>14000</v>
      </c>
      <c r="J399" s="25" t="s">
        <v>185</v>
      </c>
      <c r="K399" s="25" t="s">
        <v>456</v>
      </c>
      <c r="L399" s="25" t="s">
        <v>456</v>
      </c>
      <c r="M399" s="24" t="s">
        <v>193</v>
      </c>
      <c r="N399" s="26" t="n">
        <v>200</v>
      </c>
      <c r="O399" s="26" t="n">
        <v>200</v>
      </c>
      <c r="P399" s="26" t="n">
        <v>0</v>
      </c>
      <c r="Q399" s="24"/>
    </row>
    <row r="400" customFormat="false" ht="15" hidden="false" customHeight="false" outlineLevel="0" collapsed="false">
      <c r="A400" s="24" t="s">
        <v>10</v>
      </c>
      <c r="B400" s="25" t="s">
        <v>5</v>
      </c>
      <c r="C400" s="24" t="s">
        <v>225</v>
      </c>
      <c r="D400" s="24" t="s">
        <v>279</v>
      </c>
      <c r="E400" s="25" t="s">
        <v>215</v>
      </c>
      <c r="F400" s="25" t="s">
        <v>145</v>
      </c>
      <c r="G400" s="26" t="n">
        <v>11900</v>
      </c>
      <c r="H400" s="26" t="n">
        <v>800</v>
      </c>
      <c r="I400" s="26" t="n">
        <v>11100</v>
      </c>
      <c r="J400" s="25" t="s">
        <v>185</v>
      </c>
      <c r="K400" s="24" t="s">
        <v>536</v>
      </c>
      <c r="L400" s="24" t="s">
        <v>536</v>
      </c>
      <c r="M400" s="24" t="s">
        <v>193</v>
      </c>
      <c r="N400" s="26" t="n">
        <v>800</v>
      </c>
      <c r="O400" s="26" t="n">
        <v>800</v>
      </c>
      <c r="P400" s="26" t="n">
        <v>0</v>
      </c>
      <c r="Q400" s="24"/>
    </row>
    <row r="401" customFormat="false" ht="15" hidden="false" customHeight="false" outlineLevel="0" collapsed="false">
      <c r="A401" s="24" t="s">
        <v>10</v>
      </c>
      <c r="B401" s="25" t="s">
        <v>5</v>
      </c>
      <c r="C401" s="24" t="s">
        <v>225</v>
      </c>
      <c r="D401" s="24" t="s">
        <v>570</v>
      </c>
      <c r="E401" s="24" t="s">
        <v>207</v>
      </c>
      <c r="F401" s="25" t="s">
        <v>154</v>
      </c>
      <c r="G401" s="26" t="n">
        <v>9600</v>
      </c>
      <c r="H401" s="26" t="n">
        <v>100</v>
      </c>
      <c r="I401" s="26" t="n">
        <v>9500</v>
      </c>
      <c r="J401" s="25" t="s">
        <v>185</v>
      </c>
      <c r="K401" s="24" t="s">
        <v>535</v>
      </c>
      <c r="L401" s="24" t="s">
        <v>535</v>
      </c>
      <c r="M401" s="24" t="s">
        <v>193</v>
      </c>
      <c r="N401" s="26" t="n">
        <v>100</v>
      </c>
      <c r="O401" s="26" t="n">
        <v>100</v>
      </c>
      <c r="P401" s="26" t="n">
        <v>0</v>
      </c>
      <c r="Q401" s="24"/>
    </row>
    <row r="402" customFormat="false" ht="15" hidden="false" customHeight="false" outlineLevel="0" collapsed="false">
      <c r="A402" s="24" t="s">
        <v>10</v>
      </c>
      <c r="B402" s="25" t="s">
        <v>5</v>
      </c>
      <c r="C402" s="24" t="s">
        <v>225</v>
      </c>
      <c r="D402" s="24" t="s">
        <v>571</v>
      </c>
      <c r="E402" s="25" t="s">
        <v>219</v>
      </c>
      <c r="F402" s="25" t="s">
        <v>137</v>
      </c>
      <c r="G402" s="26" t="n">
        <v>53600</v>
      </c>
      <c r="H402" s="26" t="n">
        <v>3400</v>
      </c>
      <c r="I402" s="26" t="n">
        <v>50200</v>
      </c>
      <c r="J402" s="25" t="s">
        <v>185</v>
      </c>
      <c r="K402" s="25" t="s">
        <v>456</v>
      </c>
      <c r="L402" s="25" t="s">
        <v>456</v>
      </c>
      <c r="M402" s="24" t="s">
        <v>193</v>
      </c>
      <c r="N402" s="26" t="n">
        <v>3400</v>
      </c>
      <c r="O402" s="26" t="n">
        <v>3400</v>
      </c>
      <c r="P402" s="26" t="n">
        <v>0</v>
      </c>
      <c r="Q402" s="24"/>
    </row>
    <row r="403" customFormat="false" ht="15" hidden="false" customHeight="false" outlineLevel="0" collapsed="false">
      <c r="A403" s="24" t="s">
        <v>10</v>
      </c>
      <c r="B403" s="25" t="s">
        <v>5</v>
      </c>
      <c r="C403" s="24" t="s">
        <v>225</v>
      </c>
      <c r="D403" s="24" t="s">
        <v>572</v>
      </c>
      <c r="E403" s="25" t="s">
        <v>544</v>
      </c>
      <c r="F403" s="25" t="s">
        <v>134</v>
      </c>
      <c r="G403" s="26" t="n">
        <v>94400</v>
      </c>
      <c r="H403" s="26" t="n">
        <v>0</v>
      </c>
      <c r="I403" s="26" t="n">
        <v>94400</v>
      </c>
      <c r="J403" s="25" t="s">
        <v>185</v>
      </c>
      <c r="K403" s="24" t="s">
        <v>534</v>
      </c>
      <c r="L403" s="25" t="s">
        <v>456</v>
      </c>
      <c r="M403" s="24" t="s">
        <v>181</v>
      </c>
      <c r="N403" s="26" t="n">
        <v>0</v>
      </c>
      <c r="O403" s="26" t="n">
        <v>1300</v>
      </c>
      <c r="P403" s="26" t="n">
        <v>1300</v>
      </c>
      <c r="Q403" s="25" t="s">
        <v>182</v>
      </c>
    </row>
    <row r="404" customFormat="false" ht="15" hidden="false" customHeight="false" outlineLevel="0" collapsed="false">
      <c r="A404" s="24" t="s">
        <v>10</v>
      </c>
      <c r="B404" s="25" t="s">
        <v>5</v>
      </c>
      <c r="C404" s="24" t="s">
        <v>225</v>
      </c>
      <c r="D404" s="24" t="s">
        <v>573</v>
      </c>
      <c r="E404" s="25" t="s">
        <v>281</v>
      </c>
      <c r="F404" s="25" t="s">
        <v>138</v>
      </c>
      <c r="G404" s="26" t="n">
        <v>34600</v>
      </c>
      <c r="H404" s="26" t="n">
        <v>0</v>
      </c>
      <c r="I404" s="26" t="n">
        <v>34600</v>
      </c>
      <c r="J404" s="25" t="s">
        <v>185</v>
      </c>
      <c r="K404" s="24" t="s">
        <v>539</v>
      </c>
      <c r="L404" s="24" t="s">
        <v>535</v>
      </c>
      <c r="M404" s="24" t="s">
        <v>181</v>
      </c>
      <c r="N404" s="26" t="n">
        <v>0</v>
      </c>
      <c r="O404" s="26" t="n">
        <v>500</v>
      </c>
      <c r="P404" s="26" t="n">
        <v>500</v>
      </c>
      <c r="Q404" s="25" t="s">
        <v>182</v>
      </c>
    </row>
    <row r="405" customFormat="false" ht="15" hidden="false" customHeight="false" outlineLevel="0" collapsed="false">
      <c r="A405" s="24" t="s">
        <v>10</v>
      </c>
      <c r="B405" s="25" t="s">
        <v>5</v>
      </c>
      <c r="C405" s="24" t="s">
        <v>225</v>
      </c>
      <c r="D405" s="24" t="s">
        <v>574</v>
      </c>
      <c r="E405" s="24" t="s">
        <v>294</v>
      </c>
      <c r="F405" s="25" t="s">
        <v>140</v>
      </c>
      <c r="G405" s="26" t="n">
        <v>89900</v>
      </c>
      <c r="H405" s="26" t="n">
        <v>5700</v>
      </c>
      <c r="I405" s="26" t="n">
        <v>84200</v>
      </c>
      <c r="J405" s="25" t="s">
        <v>185</v>
      </c>
      <c r="K405" s="24" t="s">
        <v>539</v>
      </c>
      <c r="L405" s="24" t="s">
        <v>539</v>
      </c>
      <c r="M405" s="24" t="s">
        <v>193</v>
      </c>
      <c r="N405" s="26" t="n">
        <v>5700</v>
      </c>
      <c r="O405" s="26" t="n">
        <v>5700</v>
      </c>
      <c r="P405" s="26" t="n">
        <v>0</v>
      </c>
      <c r="Q405" s="24"/>
    </row>
    <row r="406" customFormat="false" ht="15" hidden="false" customHeight="false" outlineLevel="0" collapsed="false">
      <c r="A406" s="24" t="s">
        <v>10</v>
      </c>
      <c r="B406" s="25" t="s">
        <v>5</v>
      </c>
      <c r="C406" s="24" t="s">
        <v>225</v>
      </c>
      <c r="D406" s="24" t="s">
        <v>575</v>
      </c>
      <c r="E406" s="25" t="s">
        <v>48</v>
      </c>
      <c r="F406" s="25" t="s">
        <v>218</v>
      </c>
      <c r="G406" s="26" t="n">
        <v>70500</v>
      </c>
      <c r="H406" s="26" t="n">
        <v>0</v>
      </c>
      <c r="I406" s="26" t="n">
        <v>70500</v>
      </c>
      <c r="J406" s="25" t="s">
        <v>185</v>
      </c>
      <c r="K406" s="25" t="s">
        <v>456</v>
      </c>
      <c r="L406" s="25" t="s">
        <v>456</v>
      </c>
      <c r="M406" s="24" t="s">
        <v>186</v>
      </c>
      <c r="N406" s="26" t="n">
        <v>0</v>
      </c>
      <c r="O406" s="26" t="n">
        <v>1000</v>
      </c>
      <c r="P406" s="26" t="n">
        <v>1000</v>
      </c>
      <c r="Q406" s="25" t="s">
        <v>187</v>
      </c>
    </row>
    <row r="407" customFormat="false" ht="15" hidden="false" customHeight="false" outlineLevel="0" collapsed="false">
      <c r="A407" s="24" t="s">
        <v>10</v>
      </c>
      <c r="B407" s="25" t="s">
        <v>5</v>
      </c>
      <c r="C407" s="24" t="s">
        <v>225</v>
      </c>
      <c r="D407" s="24" t="s">
        <v>576</v>
      </c>
      <c r="E407" s="25" t="s">
        <v>542</v>
      </c>
      <c r="F407" s="25" t="s">
        <v>184</v>
      </c>
      <c r="G407" s="26" t="n">
        <v>126800</v>
      </c>
      <c r="H407" s="26" t="n">
        <v>0</v>
      </c>
      <c r="I407" s="26" t="n">
        <v>126800</v>
      </c>
      <c r="J407" s="25" t="s">
        <v>185</v>
      </c>
      <c r="K407" s="24" t="s">
        <v>534</v>
      </c>
      <c r="L407" s="25" t="s">
        <v>456</v>
      </c>
      <c r="M407" s="24" t="s">
        <v>181</v>
      </c>
      <c r="N407" s="26" t="n">
        <v>0</v>
      </c>
      <c r="O407" s="26" t="n">
        <v>1700</v>
      </c>
      <c r="P407" s="26" t="n">
        <v>1700</v>
      </c>
      <c r="Q407" s="25" t="s">
        <v>182</v>
      </c>
    </row>
    <row r="408" customFormat="false" ht="15" hidden="false" customHeight="false" outlineLevel="0" collapsed="false">
      <c r="A408" s="24" t="s">
        <v>10</v>
      </c>
      <c r="B408" s="25" t="s">
        <v>5</v>
      </c>
      <c r="C408" s="24" t="s">
        <v>225</v>
      </c>
      <c r="D408" s="24" t="s">
        <v>577</v>
      </c>
      <c r="E408" s="25" t="s">
        <v>346</v>
      </c>
      <c r="F408" s="25" t="s">
        <v>143</v>
      </c>
      <c r="G408" s="26" t="n">
        <v>100700</v>
      </c>
      <c r="H408" s="26" t="n">
        <v>0</v>
      </c>
      <c r="I408" s="26" t="n">
        <v>100700</v>
      </c>
      <c r="J408" s="25" t="s">
        <v>185</v>
      </c>
      <c r="K408" s="24" t="s">
        <v>535</v>
      </c>
      <c r="L408" s="25" t="s">
        <v>456</v>
      </c>
      <c r="M408" s="24" t="s">
        <v>181</v>
      </c>
      <c r="N408" s="26" t="n">
        <v>0</v>
      </c>
      <c r="O408" s="26" t="n">
        <v>1400</v>
      </c>
      <c r="P408" s="26" t="n">
        <v>1400</v>
      </c>
      <c r="Q408" s="25" t="s">
        <v>182</v>
      </c>
    </row>
    <row r="409" customFormat="false" ht="15" hidden="false" customHeight="false" outlineLevel="0" collapsed="false">
      <c r="A409" s="24" t="s">
        <v>10</v>
      </c>
      <c r="B409" s="25" t="s">
        <v>5</v>
      </c>
      <c r="C409" s="24" t="s">
        <v>225</v>
      </c>
      <c r="D409" s="24" t="s">
        <v>409</v>
      </c>
      <c r="E409" s="25" t="s">
        <v>230</v>
      </c>
      <c r="F409" s="25" t="s">
        <v>139</v>
      </c>
      <c r="G409" s="26" t="n">
        <v>264400</v>
      </c>
      <c r="H409" s="26" t="n">
        <v>16600</v>
      </c>
      <c r="I409" s="26" t="n">
        <v>247800</v>
      </c>
      <c r="J409" s="25" t="s">
        <v>185</v>
      </c>
      <c r="K409" s="24" t="s">
        <v>536</v>
      </c>
      <c r="L409" s="24" t="s">
        <v>536</v>
      </c>
      <c r="M409" s="24" t="s">
        <v>193</v>
      </c>
      <c r="N409" s="26" t="n">
        <v>16600</v>
      </c>
      <c r="O409" s="26" t="n">
        <v>16600</v>
      </c>
      <c r="P409" s="26" t="n">
        <v>0</v>
      </c>
      <c r="Q409" s="24"/>
    </row>
    <row r="410" customFormat="false" ht="15" hidden="false" customHeight="false" outlineLevel="0" collapsed="false">
      <c r="A410" s="24" t="s">
        <v>10</v>
      </c>
      <c r="B410" s="25" t="s">
        <v>5</v>
      </c>
      <c r="C410" s="24" t="s">
        <v>225</v>
      </c>
      <c r="D410" s="24" t="s">
        <v>578</v>
      </c>
      <c r="E410" s="25" t="s">
        <v>312</v>
      </c>
      <c r="F410" s="25" t="s">
        <v>158</v>
      </c>
      <c r="G410" s="26" t="n">
        <v>14600</v>
      </c>
      <c r="H410" s="26" t="n">
        <v>200</v>
      </c>
      <c r="I410" s="26" t="n">
        <v>14400</v>
      </c>
      <c r="J410" s="25" t="s">
        <v>185</v>
      </c>
      <c r="K410" s="24" t="s">
        <v>535</v>
      </c>
      <c r="L410" s="24" t="s">
        <v>535</v>
      </c>
      <c r="M410" s="24" t="s">
        <v>193</v>
      </c>
      <c r="N410" s="26" t="n">
        <v>200</v>
      </c>
      <c r="O410" s="26" t="n">
        <v>200</v>
      </c>
      <c r="P410" s="26" t="n">
        <v>0</v>
      </c>
      <c r="Q410" s="24"/>
    </row>
    <row r="411" customFormat="false" ht="15" hidden="false" customHeight="false" outlineLevel="0" collapsed="false">
      <c r="A411" s="24" t="s">
        <v>10</v>
      </c>
      <c r="B411" s="25" t="s">
        <v>5</v>
      </c>
      <c r="C411" s="24" t="s">
        <v>225</v>
      </c>
      <c r="D411" s="24" t="s">
        <v>579</v>
      </c>
      <c r="E411" s="25" t="s">
        <v>304</v>
      </c>
      <c r="F411" s="25" t="s">
        <v>138</v>
      </c>
      <c r="G411" s="26" t="n">
        <v>53300</v>
      </c>
      <c r="H411" s="26" t="n">
        <v>0</v>
      </c>
      <c r="I411" s="26" t="n">
        <v>53300</v>
      </c>
      <c r="J411" s="25" t="s">
        <v>185</v>
      </c>
      <c r="K411" s="25" t="s">
        <v>456</v>
      </c>
      <c r="L411" s="25" t="s">
        <v>456</v>
      </c>
      <c r="M411" s="24" t="s">
        <v>186</v>
      </c>
      <c r="N411" s="26" t="n">
        <v>0</v>
      </c>
      <c r="O411" s="26" t="n">
        <v>700</v>
      </c>
      <c r="P411" s="26" t="n">
        <v>700</v>
      </c>
      <c r="Q411" s="25" t="s">
        <v>187</v>
      </c>
    </row>
    <row r="412" customFormat="false" ht="15" hidden="false" customHeight="false" outlineLevel="0" collapsed="false">
      <c r="A412" s="24" t="s">
        <v>10</v>
      </c>
      <c r="B412" s="25" t="s">
        <v>5</v>
      </c>
      <c r="C412" s="24" t="s">
        <v>225</v>
      </c>
      <c r="D412" s="24" t="s">
        <v>580</v>
      </c>
      <c r="E412" s="25" t="s">
        <v>272</v>
      </c>
      <c r="F412" s="25" t="s">
        <v>218</v>
      </c>
      <c r="G412" s="26" t="n">
        <v>97400</v>
      </c>
      <c r="H412" s="26" t="n">
        <v>0</v>
      </c>
      <c r="I412" s="26" t="n">
        <v>97400</v>
      </c>
      <c r="J412" s="25" t="s">
        <v>185</v>
      </c>
      <c r="K412" s="24" t="s">
        <v>534</v>
      </c>
      <c r="L412" s="25" t="s">
        <v>456</v>
      </c>
      <c r="M412" s="24" t="s">
        <v>181</v>
      </c>
      <c r="N412" s="26" t="n">
        <v>0</v>
      </c>
      <c r="O412" s="26" t="n">
        <v>1300</v>
      </c>
      <c r="P412" s="26" t="n">
        <v>1300</v>
      </c>
      <c r="Q412" s="25" t="s">
        <v>182</v>
      </c>
    </row>
    <row r="413" customFormat="false" ht="15" hidden="false" customHeight="false" outlineLevel="0" collapsed="false">
      <c r="A413" s="24" t="s">
        <v>10</v>
      </c>
      <c r="B413" s="25" t="s">
        <v>5</v>
      </c>
      <c r="C413" s="24" t="s">
        <v>225</v>
      </c>
      <c r="D413" s="24" t="s">
        <v>581</v>
      </c>
      <c r="E413" s="25" t="s">
        <v>543</v>
      </c>
      <c r="F413" s="25" t="s">
        <v>138</v>
      </c>
      <c r="G413" s="26" t="n">
        <v>48200</v>
      </c>
      <c r="H413" s="26" t="n">
        <v>0</v>
      </c>
      <c r="I413" s="26" t="n">
        <v>48200</v>
      </c>
      <c r="J413" s="25" t="s">
        <v>185</v>
      </c>
      <c r="K413" s="24" t="s">
        <v>539</v>
      </c>
      <c r="L413" s="24" t="s">
        <v>535</v>
      </c>
      <c r="M413" s="24" t="s">
        <v>181</v>
      </c>
      <c r="N413" s="26" t="n">
        <v>0</v>
      </c>
      <c r="O413" s="26" t="n">
        <v>700</v>
      </c>
      <c r="P413" s="26" t="n">
        <v>700</v>
      </c>
      <c r="Q413" s="25" t="s">
        <v>182</v>
      </c>
    </row>
    <row r="414" customFormat="false" ht="15" hidden="false" customHeight="false" outlineLevel="0" collapsed="false">
      <c r="A414" s="24" t="s">
        <v>10</v>
      </c>
      <c r="B414" s="25" t="s">
        <v>5</v>
      </c>
      <c r="C414" s="24" t="s">
        <v>225</v>
      </c>
      <c r="D414" s="24" t="s">
        <v>582</v>
      </c>
      <c r="E414" s="25" t="s">
        <v>222</v>
      </c>
      <c r="F414" s="25" t="s">
        <v>137</v>
      </c>
      <c r="G414" s="26" t="n">
        <v>45300</v>
      </c>
      <c r="H414" s="26" t="n">
        <v>2900</v>
      </c>
      <c r="I414" s="26" t="n">
        <v>42400</v>
      </c>
      <c r="J414" s="25" t="s">
        <v>185</v>
      </c>
      <c r="K414" s="25" t="s">
        <v>456</v>
      </c>
      <c r="L414" s="25" t="s">
        <v>456</v>
      </c>
      <c r="M414" s="24" t="s">
        <v>193</v>
      </c>
      <c r="N414" s="26" t="n">
        <v>2900</v>
      </c>
      <c r="O414" s="26" t="n">
        <v>2900</v>
      </c>
      <c r="P414" s="26" t="n">
        <v>0</v>
      </c>
      <c r="Q414" s="24"/>
    </row>
    <row r="415" customFormat="false" ht="15" hidden="false" customHeight="false" outlineLevel="0" collapsed="false">
      <c r="A415" s="24" t="s">
        <v>10</v>
      </c>
      <c r="B415" s="25" t="s">
        <v>5</v>
      </c>
      <c r="C415" s="24" t="s">
        <v>225</v>
      </c>
      <c r="D415" s="24" t="s">
        <v>583</v>
      </c>
      <c r="E415" s="25" t="s">
        <v>315</v>
      </c>
      <c r="F415" s="25" t="s">
        <v>218</v>
      </c>
      <c r="G415" s="26" t="n">
        <v>110700</v>
      </c>
      <c r="H415" s="26" t="n">
        <v>0</v>
      </c>
      <c r="I415" s="26" t="n">
        <v>110700</v>
      </c>
      <c r="J415" s="25" t="s">
        <v>185</v>
      </c>
      <c r="K415" s="24" t="s">
        <v>534</v>
      </c>
      <c r="L415" s="25" t="s">
        <v>456</v>
      </c>
      <c r="M415" s="24" t="s">
        <v>181</v>
      </c>
      <c r="N415" s="26" t="n">
        <v>0</v>
      </c>
      <c r="O415" s="26" t="n">
        <v>1500</v>
      </c>
      <c r="P415" s="26" t="n">
        <v>1500</v>
      </c>
      <c r="Q415" s="25" t="s">
        <v>182</v>
      </c>
    </row>
    <row r="416" customFormat="false" ht="15" hidden="false" customHeight="false" outlineLevel="0" collapsed="false">
      <c r="A416" s="24" t="s">
        <v>10</v>
      </c>
      <c r="B416" s="25" t="s">
        <v>5</v>
      </c>
      <c r="C416" s="24" t="s">
        <v>319</v>
      </c>
      <c r="D416" s="24" t="s">
        <v>584</v>
      </c>
      <c r="E416" s="25" t="s">
        <v>214</v>
      </c>
      <c r="F416" s="25" t="s">
        <v>138</v>
      </c>
      <c r="G416" s="26" t="n">
        <v>93200</v>
      </c>
      <c r="H416" s="26" t="n">
        <v>4900</v>
      </c>
      <c r="I416" s="26" t="n">
        <v>88300</v>
      </c>
      <c r="J416" s="25" t="s">
        <v>185</v>
      </c>
      <c r="K416" s="24" t="s">
        <v>539</v>
      </c>
      <c r="L416" s="24" t="s">
        <v>539</v>
      </c>
      <c r="M416" s="24" t="s">
        <v>193</v>
      </c>
      <c r="N416" s="26" t="n">
        <v>4900</v>
      </c>
      <c r="O416" s="26" t="n">
        <v>4900</v>
      </c>
      <c r="P416" s="26" t="n">
        <v>0</v>
      </c>
      <c r="Q416" s="24"/>
    </row>
    <row r="417" customFormat="false" ht="15" hidden="false" customHeight="false" outlineLevel="0" collapsed="false">
      <c r="A417" s="24" t="s">
        <v>10</v>
      </c>
      <c r="B417" s="25" t="s">
        <v>5</v>
      </c>
      <c r="C417" s="24" t="s">
        <v>319</v>
      </c>
      <c r="D417" s="24" t="s">
        <v>585</v>
      </c>
      <c r="E417" s="25" t="s">
        <v>194</v>
      </c>
      <c r="F417" s="25" t="s">
        <v>145</v>
      </c>
      <c r="G417" s="26" t="n">
        <v>48200</v>
      </c>
      <c r="H417" s="26" t="n">
        <v>0</v>
      </c>
      <c r="I417" s="26" t="n">
        <v>48200</v>
      </c>
      <c r="J417" s="25" t="s">
        <v>185</v>
      </c>
      <c r="K417" s="24" t="s">
        <v>534</v>
      </c>
      <c r="L417" s="24" t="s">
        <v>539</v>
      </c>
      <c r="M417" s="24" t="s">
        <v>181</v>
      </c>
      <c r="N417" s="26" t="n">
        <v>0</v>
      </c>
      <c r="O417" s="26" t="n">
        <v>2500</v>
      </c>
      <c r="P417" s="26" t="n">
        <v>2500</v>
      </c>
      <c r="Q417" s="25" t="s">
        <v>182</v>
      </c>
    </row>
    <row r="418" customFormat="false" ht="15" hidden="false" customHeight="false" outlineLevel="0" collapsed="false">
      <c r="A418" s="24" t="s">
        <v>10</v>
      </c>
      <c r="B418" s="25" t="s">
        <v>5</v>
      </c>
      <c r="C418" s="24" t="s">
        <v>319</v>
      </c>
      <c r="D418" s="24" t="s">
        <v>586</v>
      </c>
      <c r="E418" s="24" t="s">
        <v>209</v>
      </c>
      <c r="F418" s="25" t="s">
        <v>142</v>
      </c>
      <c r="G418" s="26" t="n">
        <v>107500</v>
      </c>
      <c r="H418" s="26" t="n">
        <v>0</v>
      </c>
      <c r="I418" s="26" t="n">
        <v>107500</v>
      </c>
      <c r="J418" s="25" t="s">
        <v>185</v>
      </c>
      <c r="K418" s="25" t="s">
        <v>538</v>
      </c>
      <c r="L418" s="24" t="s">
        <v>539</v>
      </c>
      <c r="M418" s="24" t="s">
        <v>181</v>
      </c>
      <c r="N418" s="26" t="n">
        <v>0</v>
      </c>
      <c r="O418" s="26" t="n">
        <v>1500</v>
      </c>
      <c r="P418" s="26" t="n">
        <v>1500</v>
      </c>
      <c r="Q418" s="25" t="s">
        <v>182</v>
      </c>
    </row>
    <row r="419" customFormat="false" ht="15" hidden="false" customHeight="false" outlineLevel="0" collapsed="false">
      <c r="A419" s="24" t="s">
        <v>10</v>
      </c>
      <c r="B419" s="25" t="s">
        <v>5</v>
      </c>
      <c r="C419" s="24" t="s">
        <v>319</v>
      </c>
      <c r="D419" s="24" t="s">
        <v>587</v>
      </c>
      <c r="E419" s="25" t="s">
        <v>48</v>
      </c>
      <c r="F419" s="25" t="s">
        <v>218</v>
      </c>
      <c r="G419" s="26" t="n">
        <v>110300</v>
      </c>
      <c r="H419" s="26" t="n">
        <v>0</v>
      </c>
      <c r="I419" s="26" t="n">
        <v>110300</v>
      </c>
      <c r="J419" s="25" t="s">
        <v>185</v>
      </c>
      <c r="K419" s="25" t="s">
        <v>538</v>
      </c>
      <c r="L419" s="24" t="s">
        <v>539</v>
      </c>
      <c r="M419" s="24" t="s">
        <v>181</v>
      </c>
      <c r="N419" s="26" t="n">
        <v>0</v>
      </c>
      <c r="O419" s="26" t="n">
        <v>1600</v>
      </c>
      <c r="P419" s="26" t="n">
        <v>1600</v>
      </c>
      <c r="Q419" s="25" t="s">
        <v>182</v>
      </c>
    </row>
    <row r="420" customFormat="false" ht="15" hidden="false" customHeight="false" outlineLevel="0" collapsed="false">
      <c r="A420" s="24" t="s">
        <v>10</v>
      </c>
      <c r="B420" s="25" t="s">
        <v>5</v>
      </c>
      <c r="C420" s="24" t="s">
        <v>319</v>
      </c>
      <c r="D420" s="24" t="s">
        <v>588</v>
      </c>
      <c r="E420" s="24" t="s">
        <v>207</v>
      </c>
      <c r="F420" s="25" t="s">
        <v>154</v>
      </c>
      <c r="G420" s="26" t="n">
        <v>9200</v>
      </c>
      <c r="H420" s="26" t="n">
        <v>0</v>
      </c>
      <c r="I420" s="26" t="n">
        <v>9200</v>
      </c>
      <c r="J420" s="25" t="s">
        <v>185</v>
      </c>
      <c r="K420" s="25" t="s">
        <v>538</v>
      </c>
      <c r="L420" s="24" t="s">
        <v>539</v>
      </c>
      <c r="M420" s="24" t="s">
        <v>181</v>
      </c>
      <c r="N420" s="26" t="n">
        <v>0</v>
      </c>
      <c r="O420" s="26" t="n">
        <v>100</v>
      </c>
      <c r="P420" s="26" t="n">
        <v>100</v>
      </c>
      <c r="Q420" s="25" t="s">
        <v>182</v>
      </c>
    </row>
    <row r="421" customFormat="false" ht="15" hidden="false" customHeight="false" outlineLevel="0" collapsed="false">
      <c r="A421" s="24" t="s">
        <v>10</v>
      </c>
      <c r="B421" s="25" t="s">
        <v>5</v>
      </c>
      <c r="C421" s="24" t="s">
        <v>319</v>
      </c>
      <c r="D421" s="24" t="s">
        <v>589</v>
      </c>
      <c r="E421" s="25" t="s">
        <v>281</v>
      </c>
      <c r="F421" s="25" t="s">
        <v>138</v>
      </c>
      <c r="G421" s="26" t="n">
        <v>62700</v>
      </c>
      <c r="H421" s="26" t="n">
        <v>3300</v>
      </c>
      <c r="I421" s="26" t="n">
        <v>59400</v>
      </c>
      <c r="J421" s="25" t="s">
        <v>185</v>
      </c>
      <c r="K421" s="24" t="s">
        <v>539</v>
      </c>
      <c r="L421" s="24" t="s">
        <v>539</v>
      </c>
      <c r="M421" s="24" t="s">
        <v>193</v>
      </c>
      <c r="N421" s="26" t="n">
        <v>3300</v>
      </c>
      <c r="O421" s="26" t="n">
        <v>3300</v>
      </c>
      <c r="P421" s="26" t="n">
        <v>0</v>
      </c>
      <c r="Q421" s="24"/>
    </row>
    <row r="422" customFormat="false" ht="15" hidden="false" customHeight="false" outlineLevel="0" collapsed="false">
      <c r="A422" s="24" t="s">
        <v>10</v>
      </c>
      <c r="B422" s="25" t="s">
        <v>5</v>
      </c>
      <c r="C422" s="24" t="s">
        <v>319</v>
      </c>
      <c r="D422" s="24" t="s">
        <v>590</v>
      </c>
      <c r="E422" s="25" t="s">
        <v>206</v>
      </c>
      <c r="F422" s="25" t="s">
        <v>137</v>
      </c>
      <c r="G422" s="26" t="n">
        <v>39800</v>
      </c>
      <c r="H422" s="26" t="n">
        <v>0</v>
      </c>
      <c r="I422" s="26" t="n">
        <v>39800</v>
      </c>
      <c r="J422" s="25" t="s">
        <v>185</v>
      </c>
      <c r="K422" s="24" t="s">
        <v>534</v>
      </c>
      <c r="L422" s="24" t="s">
        <v>539</v>
      </c>
      <c r="M422" s="24" t="s">
        <v>181</v>
      </c>
      <c r="N422" s="26" t="n">
        <v>0</v>
      </c>
      <c r="O422" s="26" t="n">
        <v>2100</v>
      </c>
      <c r="P422" s="26" t="n">
        <v>2100</v>
      </c>
      <c r="Q422" s="25" t="s">
        <v>182</v>
      </c>
    </row>
    <row r="423" customFormat="false" ht="15" hidden="false" customHeight="false" outlineLevel="0" collapsed="false">
      <c r="A423" s="24" t="s">
        <v>10</v>
      </c>
      <c r="B423" s="25" t="s">
        <v>5</v>
      </c>
      <c r="C423" s="24" t="s">
        <v>319</v>
      </c>
      <c r="D423" s="24" t="s">
        <v>591</v>
      </c>
      <c r="E423" s="25" t="s">
        <v>215</v>
      </c>
      <c r="F423" s="25" t="s">
        <v>145</v>
      </c>
      <c r="G423" s="26" t="n">
        <v>5300</v>
      </c>
      <c r="H423" s="26" t="n">
        <v>0</v>
      </c>
      <c r="I423" s="26" t="n">
        <v>5300</v>
      </c>
      <c r="J423" s="25" t="s">
        <v>185</v>
      </c>
      <c r="K423" s="24" t="s">
        <v>534</v>
      </c>
      <c r="L423" s="24" t="s">
        <v>539</v>
      </c>
      <c r="M423" s="24" t="s">
        <v>181</v>
      </c>
      <c r="N423" s="26" t="n">
        <v>0</v>
      </c>
      <c r="O423" s="26" t="n">
        <v>100</v>
      </c>
      <c r="P423" s="26" t="n">
        <v>100</v>
      </c>
      <c r="Q423" s="25" t="s">
        <v>182</v>
      </c>
    </row>
    <row r="424" customFormat="false" ht="15" hidden="false" customHeight="false" outlineLevel="0" collapsed="false">
      <c r="A424" s="24" t="s">
        <v>10</v>
      </c>
      <c r="B424" s="25" t="s">
        <v>5</v>
      </c>
      <c r="C424" s="24" t="s">
        <v>319</v>
      </c>
      <c r="D424" s="24" t="s">
        <v>592</v>
      </c>
      <c r="E424" s="25" t="s">
        <v>195</v>
      </c>
      <c r="F424" s="25" t="s">
        <v>144</v>
      </c>
      <c r="G424" s="26" t="n">
        <v>23800</v>
      </c>
      <c r="H424" s="26" t="n">
        <v>0</v>
      </c>
      <c r="I424" s="26" t="n">
        <v>23800</v>
      </c>
      <c r="J424" s="25" t="s">
        <v>185</v>
      </c>
      <c r="K424" s="24" t="s">
        <v>534</v>
      </c>
      <c r="L424" s="24" t="s">
        <v>539</v>
      </c>
      <c r="M424" s="24" t="s">
        <v>181</v>
      </c>
      <c r="N424" s="26" t="n">
        <v>0</v>
      </c>
      <c r="O424" s="26" t="n">
        <v>1300</v>
      </c>
      <c r="P424" s="26" t="n">
        <v>1300</v>
      </c>
      <c r="Q424" s="25" t="s">
        <v>182</v>
      </c>
    </row>
    <row r="425" customFormat="false" ht="15" hidden="false" customHeight="false" outlineLevel="0" collapsed="false">
      <c r="A425" s="24" t="s">
        <v>10</v>
      </c>
      <c r="B425" s="25" t="s">
        <v>5</v>
      </c>
      <c r="C425" s="24" t="s">
        <v>319</v>
      </c>
      <c r="D425" s="24" t="s">
        <v>593</v>
      </c>
      <c r="E425" s="25" t="s">
        <v>219</v>
      </c>
      <c r="F425" s="25" t="s">
        <v>137</v>
      </c>
      <c r="G425" s="26" t="n">
        <v>50100</v>
      </c>
      <c r="H425" s="26" t="n">
        <v>0</v>
      </c>
      <c r="I425" s="26" t="n">
        <v>50100</v>
      </c>
      <c r="J425" s="25" t="s">
        <v>185</v>
      </c>
      <c r="K425" s="24" t="s">
        <v>534</v>
      </c>
      <c r="L425" s="24" t="s">
        <v>539</v>
      </c>
      <c r="M425" s="24" t="s">
        <v>181</v>
      </c>
      <c r="N425" s="26" t="n">
        <v>0</v>
      </c>
      <c r="O425" s="26" t="n">
        <v>700</v>
      </c>
      <c r="P425" s="26" t="n">
        <v>700</v>
      </c>
      <c r="Q425" s="25" t="s">
        <v>182</v>
      </c>
    </row>
    <row r="426" customFormat="false" ht="15" hidden="false" customHeight="false" outlineLevel="0" collapsed="false">
      <c r="A426" s="24" t="s">
        <v>10</v>
      </c>
      <c r="B426" s="25" t="s">
        <v>5</v>
      </c>
      <c r="C426" s="24" t="s">
        <v>319</v>
      </c>
      <c r="D426" s="24" t="s">
        <v>594</v>
      </c>
      <c r="E426" s="25" t="s">
        <v>540</v>
      </c>
      <c r="F426" s="25" t="s">
        <v>143</v>
      </c>
      <c r="G426" s="26" t="n">
        <v>101000</v>
      </c>
      <c r="H426" s="26" t="n">
        <v>0</v>
      </c>
      <c r="I426" s="26" t="n">
        <v>101000</v>
      </c>
      <c r="J426" s="25" t="s">
        <v>185</v>
      </c>
      <c r="K426" s="24" t="s">
        <v>536</v>
      </c>
      <c r="L426" s="24" t="s">
        <v>539</v>
      </c>
      <c r="M426" s="24" t="s">
        <v>181</v>
      </c>
      <c r="N426" s="26" t="n">
        <v>0</v>
      </c>
      <c r="O426" s="26" t="n">
        <v>1400</v>
      </c>
      <c r="P426" s="26" t="n">
        <v>1400</v>
      </c>
      <c r="Q426" s="25" t="s">
        <v>182</v>
      </c>
    </row>
    <row r="427" customFormat="false" ht="15" hidden="false" customHeight="false" outlineLevel="0" collapsed="false">
      <c r="A427" s="24" t="s">
        <v>10</v>
      </c>
      <c r="B427" s="25" t="s">
        <v>5</v>
      </c>
      <c r="C427" s="24" t="s">
        <v>319</v>
      </c>
      <c r="D427" s="24" t="s">
        <v>595</v>
      </c>
      <c r="E427" s="25" t="s">
        <v>272</v>
      </c>
      <c r="F427" s="25" t="s">
        <v>218</v>
      </c>
      <c r="G427" s="26" t="n">
        <v>105700</v>
      </c>
      <c r="H427" s="26" t="n">
        <v>0</v>
      </c>
      <c r="I427" s="26" t="n">
        <v>105700</v>
      </c>
      <c r="J427" s="25" t="s">
        <v>185</v>
      </c>
      <c r="K427" s="25" t="s">
        <v>538</v>
      </c>
      <c r="L427" s="24" t="s">
        <v>539</v>
      </c>
      <c r="M427" s="24" t="s">
        <v>181</v>
      </c>
      <c r="N427" s="26" t="n">
        <v>0</v>
      </c>
      <c r="O427" s="26" t="n">
        <v>1500</v>
      </c>
      <c r="P427" s="26" t="n">
        <v>1500</v>
      </c>
      <c r="Q427" s="25" t="s">
        <v>182</v>
      </c>
    </row>
    <row r="428" customFormat="false" ht="15" hidden="false" customHeight="false" outlineLevel="0" collapsed="false">
      <c r="A428" s="24" t="s">
        <v>10</v>
      </c>
      <c r="B428" s="25" t="s">
        <v>5</v>
      </c>
      <c r="C428" s="24" t="s">
        <v>319</v>
      </c>
      <c r="D428" s="24" t="s">
        <v>596</v>
      </c>
      <c r="E428" s="25" t="s">
        <v>387</v>
      </c>
      <c r="F428" s="25" t="s">
        <v>146</v>
      </c>
      <c r="G428" s="26" t="n">
        <v>233600</v>
      </c>
      <c r="H428" s="26" t="n">
        <v>0</v>
      </c>
      <c r="I428" s="26" t="n">
        <v>233600</v>
      </c>
      <c r="J428" s="25" t="s">
        <v>185</v>
      </c>
      <c r="K428" s="24" t="s">
        <v>534</v>
      </c>
      <c r="L428" s="25" t="s">
        <v>538</v>
      </c>
      <c r="M428" s="24" t="s">
        <v>181</v>
      </c>
      <c r="N428" s="26" t="n">
        <v>0</v>
      </c>
      <c r="O428" s="26" t="n">
        <v>3400</v>
      </c>
      <c r="P428" s="26" t="n">
        <v>3400</v>
      </c>
      <c r="Q428" s="25" t="s">
        <v>182</v>
      </c>
    </row>
    <row r="429" customFormat="false" ht="15" hidden="false" customHeight="false" outlineLevel="0" collapsed="false">
      <c r="A429" s="24" t="s">
        <v>10</v>
      </c>
      <c r="B429" s="25" t="s">
        <v>5</v>
      </c>
      <c r="C429" s="24" t="s">
        <v>319</v>
      </c>
      <c r="D429" s="24" t="s">
        <v>597</v>
      </c>
      <c r="E429" s="25" t="s">
        <v>304</v>
      </c>
      <c r="F429" s="25" t="s">
        <v>138</v>
      </c>
      <c r="G429" s="26" t="n">
        <v>57100</v>
      </c>
      <c r="H429" s="26" t="n">
        <v>0</v>
      </c>
      <c r="I429" s="26" t="n">
        <v>57100</v>
      </c>
      <c r="J429" s="25" t="s">
        <v>185</v>
      </c>
      <c r="K429" s="24" t="s">
        <v>534</v>
      </c>
      <c r="L429" s="24" t="s">
        <v>539</v>
      </c>
      <c r="M429" s="24" t="s">
        <v>181</v>
      </c>
      <c r="N429" s="26" t="n">
        <v>0</v>
      </c>
      <c r="O429" s="26" t="n">
        <v>800</v>
      </c>
      <c r="P429" s="26" t="n">
        <v>800</v>
      </c>
      <c r="Q429" s="25" t="s">
        <v>182</v>
      </c>
    </row>
    <row r="430" customFormat="false" ht="15" hidden="false" customHeight="false" outlineLevel="0" collapsed="false">
      <c r="A430" s="24" t="s">
        <v>10</v>
      </c>
      <c r="B430" s="25" t="s">
        <v>5</v>
      </c>
      <c r="C430" s="24" t="s">
        <v>319</v>
      </c>
      <c r="D430" s="24" t="s">
        <v>598</v>
      </c>
      <c r="E430" s="25" t="s">
        <v>177</v>
      </c>
      <c r="F430" s="25" t="s">
        <v>140</v>
      </c>
      <c r="G430" s="26" t="n">
        <v>103600</v>
      </c>
      <c r="H430" s="26" t="n">
        <v>0</v>
      </c>
      <c r="I430" s="26" t="n">
        <v>103600</v>
      </c>
      <c r="J430" s="25" t="s">
        <v>185</v>
      </c>
      <c r="K430" s="24" t="s">
        <v>536</v>
      </c>
      <c r="L430" s="24" t="s">
        <v>539</v>
      </c>
      <c r="M430" s="24" t="s">
        <v>181</v>
      </c>
      <c r="N430" s="26" t="n">
        <v>0</v>
      </c>
      <c r="O430" s="26" t="n">
        <v>1500</v>
      </c>
      <c r="P430" s="26" t="n">
        <v>1500</v>
      </c>
      <c r="Q430" s="25" t="s">
        <v>182</v>
      </c>
    </row>
    <row r="431" customFormat="false" ht="15" hidden="false" customHeight="false" outlineLevel="0" collapsed="false">
      <c r="A431" s="24" t="s">
        <v>10</v>
      </c>
      <c r="B431" s="25" t="s">
        <v>5</v>
      </c>
      <c r="C431" s="24" t="s">
        <v>319</v>
      </c>
      <c r="D431" s="24" t="s">
        <v>432</v>
      </c>
      <c r="E431" s="25" t="s">
        <v>346</v>
      </c>
      <c r="F431" s="25" t="s">
        <v>143</v>
      </c>
      <c r="G431" s="26" t="n">
        <v>91700</v>
      </c>
      <c r="H431" s="26" t="n">
        <v>0</v>
      </c>
      <c r="I431" s="26" t="n">
        <v>91700</v>
      </c>
      <c r="J431" s="25" t="s">
        <v>185</v>
      </c>
      <c r="K431" s="25" t="s">
        <v>538</v>
      </c>
      <c r="L431" s="25" t="s">
        <v>538</v>
      </c>
      <c r="M431" s="24" t="s">
        <v>186</v>
      </c>
      <c r="N431" s="26" t="n">
        <v>0</v>
      </c>
      <c r="O431" s="26" t="n">
        <v>1300</v>
      </c>
      <c r="P431" s="26" t="n">
        <v>1300</v>
      </c>
      <c r="Q431" s="25" t="s">
        <v>187</v>
      </c>
    </row>
    <row r="432" customFormat="false" ht="15" hidden="false" customHeight="false" outlineLevel="0" collapsed="false">
      <c r="A432" s="24" t="s">
        <v>10</v>
      </c>
      <c r="B432" s="25" t="s">
        <v>5</v>
      </c>
      <c r="C432" s="24" t="s">
        <v>319</v>
      </c>
      <c r="D432" s="24" t="s">
        <v>330</v>
      </c>
      <c r="E432" s="25" t="s">
        <v>537</v>
      </c>
      <c r="F432" s="25" t="s">
        <v>184</v>
      </c>
      <c r="G432" s="26" t="n">
        <v>233100</v>
      </c>
      <c r="H432" s="26" t="n">
        <v>0</v>
      </c>
      <c r="I432" s="26" t="n">
        <v>233100</v>
      </c>
      <c r="J432" s="25" t="s">
        <v>185</v>
      </c>
      <c r="K432" s="24" t="s">
        <v>534</v>
      </c>
      <c r="L432" s="24" t="s">
        <v>534</v>
      </c>
      <c r="M432" s="24" t="s">
        <v>186</v>
      </c>
      <c r="N432" s="26" t="n">
        <v>0</v>
      </c>
      <c r="O432" s="26" t="n">
        <v>3300</v>
      </c>
      <c r="P432" s="26" t="n">
        <v>3300</v>
      </c>
      <c r="Q432" s="25" t="s">
        <v>187</v>
      </c>
    </row>
    <row r="433" customFormat="false" ht="15" hidden="false" customHeight="false" outlineLevel="0" collapsed="false">
      <c r="A433" s="24" t="s">
        <v>10</v>
      </c>
      <c r="B433" s="25" t="s">
        <v>5</v>
      </c>
      <c r="C433" s="24" t="s">
        <v>319</v>
      </c>
      <c r="D433" s="24" t="s">
        <v>599</v>
      </c>
      <c r="E433" s="25" t="s">
        <v>202</v>
      </c>
      <c r="F433" s="25" t="s">
        <v>144</v>
      </c>
      <c r="G433" s="26" t="n">
        <v>6200</v>
      </c>
      <c r="H433" s="26" t="n">
        <v>0</v>
      </c>
      <c r="I433" s="26" t="n">
        <v>6200</v>
      </c>
      <c r="J433" s="25" t="s">
        <v>185</v>
      </c>
      <c r="K433" s="24" t="s">
        <v>536</v>
      </c>
      <c r="L433" s="24" t="s">
        <v>539</v>
      </c>
      <c r="M433" s="24" t="s">
        <v>181</v>
      </c>
      <c r="N433" s="26" t="n">
        <v>0</v>
      </c>
      <c r="O433" s="26" t="n">
        <v>100</v>
      </c>
      <c r="P433" s="26" t="n">
        <v>100</v>
      </c>
      <c r="Q433" s="25" t="s">
        <v>182</v>
      </c>
    </row>
    <row r="434" customFormat="false" ht="15" hidden="false" customHeight="false" outlineLevel="0" collapsed="false">
      <c r="A434" s="24" t="s">
        <v>10</v>
      </c>
      <c r="B434" s="25" t="s">
        <v>5</v>
      </c>
      <c r="C434" s="24" t="s">
        <v>319</v>
      </c>
      <c r="D434" s="24" t="s">
        <v>600</v>
      </c>
      <c r="E434" s="25" t="s">
        <v>315</v>
      </c>
      <c r="F434" s="25" t="s">
        <v>218</v>
      </c>
      <c r="G434" s="26" t="n">
        <v>134400</v>
      </c>
      <c r="H434" s="26" t="n">
        <v>0</v>
      </c>
      <c r="I434" s="26" t="n">
        <v>134400</v>
      </c>
      <c r="J434" s="25" t="s">
        <v>185</v>
      </c>
      <c r="K434" s="24" t="s">
        <v>534</v>
      </c>
      <c r="L434" s="24" t="s">
        <v>534</v>
      </c>
      <c r="M434" s="24" t="s">
        <v>186</v>
      </c>
      <c r="N434" s="26" t="n">
        <v>0</v>
      </c>
      <c r="O434" s="26" t="n">
        <v>1900</v>
      </c>
      <c r="P434" s="26" t="n">
        <v>1900</v>
      </c>
      <c r="Q434" s="25" t="s">
        <v>187</v>
      </c>
    </row>
    <row r="435" customFormat="false" ht="15" hidden="false" customHeight="false" outlineLevel="0" collapsed="false">
      <c r="A435" s="24" t="s">
        <v>10</v>
      </c>
      <c r="B435" s="25" t="s">
        <v>5</v>
      </c>
      <c r="C435" s="24" t="s">
        <v>319</v>
      </c>
      <c r="D435" s="24" t="s">
        <v>601</v>
      </c>
      <c r="E435" s="25" t="s">
        <v>541</v>
      </c>
      <c r="F435" s="25" t="s">
        <v>184</v>
      </c>
      <c r="G435" s="26" t="n">
        <v>173300</v>
      </c>
      <c r="H435" s="26" t="n">
        <v>0</v>
      </c>
      <c r="I435" s="26" t="n">
        <v>173300</v>
      </c>
      <c r="J435" s="25" t="s">
        <v>185</v>
      </c>
      <c r="K435" s="24" t="s">
        <v>534</v>
      </c>
      <c r="L435" s="24" t="s">
        <v>534</v>
      </c>
      <c r="M435" s="24" t="s">
        <v>186</v>
      </c>
      <c r="N435" s="26" t="n">
        <v>0</v>
      </c>
      <c r="O435" s="26" t="n">
        <v>2500</v>
      </c>
      <c r="P435" s="26" t="n">
        <v>2500</v>
      </c>
      <c r="Q435" s="25" t="s">
        <v>187</v>
      </c>
    </row>
    <row r="436" customFormat="false" ht="15" hidden="false" customHeight="false" outlineLevel="0" collapsed="false">
      <c r="A436" s="24" t="s">
        <v>10</v>
      </c>
      <c r="B436" s="25" t="s">
        <v>5</v>
      </c>
      <c r="C436" s="24" t="s">
        <v>319</v>
      </c>
      <c r="D436" s="24" t="s">
        <v>602</v>
      </c>
      <c r="E436" s="25" t="s">
        <v>192</v>
      </c>
      <c r="F436" s="25" t="s">
        <v>147</v>
      </c>
      <c r="G436" s="26" t="n">
        <v>34500</v>
      </c>
      <c r="H436" s="26" t="n">
        <v>0</v>
      </c>
      <c r="I436" s="26" t="n">
        <v>34500</v>
      </c>
      <c r="J436" s="25" t="s">
        <v>185</v>
      </c>
      <c r="K436" s="25" t="s">
        <v>538</v>
      </c>
      <c r="L436" s="25" t="s">
        <v>538</v>
      </c>
      <c r="M436" s="24" t="s">
        <v>186</v>
      </c>
      <c r="N436" s="26" t="n">
        <v>0</v>
      </c>
      <c r="O436" s="26" t="n">
        <v>500</v>
      </c>
      <c r="P436" s="26" t="n">
        <v>500</v>
      </c>
      <c r="Q436" s="25" t="s">
        <v>187</v>
      </c>
    </row>
    <row r="437" customFormat="false" ht="15" hidden="false" customHeight="false" outlineLevel="0" collapsed="false">
      <c r="A437" s="24" t="s">
        <v>10</v>
      </c>
      <c r="B437" s="25" t="s">
        <v>5</v>
      </c>
      <c r="C437" s="24" t="s">
        <v>319</v>
      </c>
      <c r="D437" s="24" t="s">
        <v>603</v>
      </c>
      <c r="E437" s="25" t="s">
        <v>201</v>
      </c>
      <c r="F437" s="25" t="s">
        <v>134</v>
      </c>
      <c r="G437" s="26" t="n">
        <v>171800</v>
      </c>
      <c r="H437" s="26" t="n">
        <v>0</v>
      </c>
      <c r="I437" s="26" t="n">
        <v>171800</v>
      </c>
      <c r="J437" s="25" t="s">
        <v>185</v>
      </c>
      <c r="K437" s="24" t="s">
        <v>535</v>
      </c>
      <c r="L437" s="24" t="s">
        <v>539</v>
      </c>
      <c r="M437" s="24" t="s">
        <v>181</v>
      </c>
      <c r="N437" s="26" t="n">
        <v>0</v>
      </c>
      <c r="O437" s="26" t="n">
        <v>2400</v>
      </c>
      <c r="P437" s="26" t="n">
        <v>2400</v>
      </c>
      <c r="Q437" s="25" t="s">
        <v>182</v>
      </c>
    </row>
    <row r="438" customFormat="false" ht="15" hidden="false" customHeight="false" outlineLevel="0" collapsed="false">
      <c r="A438" s="24" t="s">
        <v>10</v>
      </c>
      <c r="B438" s="25" t="s">
        <v>5</v>
      </c>
      <c r="C438" s="24" t="s">
        <v>319</v>
      </c>
      <c r="D438" s="24" t="s">
        <v>604</v>
      </c>
      <c r="E438" s="25" t="s">
        <v>211</v>
      </c>
      <c r="F438" s="25" t="s">
        <v>212</v>
      </c>
      <c r="G438" s="26" t="n">
        <v>65000</v>
      </c>
      <c r="H438" s="26" t="n">
        <v>0</v>
      </c>
      <c r="I438" s="26" t="n">
        <v>65000</v>
      </c>
      <c r="J438" s="25" t="s">
        <v>185</v>
      </c>
      <c r="K438" s="25" t="s">
        <v>538</v>
      </c>
      <c r="L438" s="25" t="s">
        <v>538</v>
      </c>
      <c r="M438" s="24" t="s">
        <v>186</v>
      </c>
      <c r="N438" s="26" t="n">
        <v>0</v>
      </c>
      <c r="O438" s="26" t="n">
        <v>900</v>
      </c>
      <c r="P438" s="26" t="n">
        <v>900</v>
      </c>
      <c r="Q438" s="25" t="s">
        <v>187</v>
      </c>
    </row>
    <row r="439" customFormat="false" ht="15" hidden="false" customHeight="false" outlineLevel="0" collapsed="false">
      <c r="A439" s="24" t="s">
        <v>10</v>
      </c>
      <c r="B439" s="25" t="s">
        <v>5</v>
      </c>
      <c r="C439" s="24" t="s">
        <v>319</v>
      </c>
      <c r="D439" s="24" t="s">
        <v>605</v>
      </c>
      <c r="E439" s="24" t="s">
        <v>331</v>
      </c>
      <c r="F439" s="25" t="s">
        <v>50</v>
      </c>
      <c r="G439" s="26" t="n">
        <v>8700</v>
      </c>
      <c r="H439" s="26" t="n">
        <v>0</v>
      </c>
      <c r="I439" s="26" t="n">
        <v>8700</v>
      </c>
      <c r="J439" s="25" t="s">
        <v>185</v>
      </c>
      <c r="K439" s="24" t="s">
        <v>534</v>
      </c>
      <c r="L439" s="24" t="s">
        <v>539</v>
      </c>
      <c r="M439" s="24" t="s">
        <v>181</v>
      </c>
      <c r="N439" s="26" t="n">
        <v>0</v>
      </c>
      <c r="O439" s="26" t="n">
        <v>100</v>
      </c>
      <c r="P439" s="26" t="n">
        <v>100</v>
      </c>
      <c r="Q439" s="25" t="s">
        <v>182</v>
      </c>
    </row>
    <row r="440" customFormat="false" ht="15" hidden="false" customHeight="false" outlineLevel="0" collapsed="false">
      <c r="A440" s="24" t="s">
        <v>10</v>
      </c>
      <c r="B440" s="25" t="s">
        <v>5</v>
      </c>
      <c r="C440" s="24" t="s">
        <v>319</v>
      </c>
      <c r="D440" s="24" t="s">
        <v>606</v>
      </c>
      <c r="E440" s="25" t="s">
        <v>462</v>
      </c>
      <c r="F440" s="25" t="s">
        <v>218</v>
      </c>
      <c r="G440" s="26" t="n">
        <v>113000</v>
      </c>
      <c r="H440" s="26" t="n">
        <v>0</v>
      </c>
      <c r="I440" s="26" t="n">
        <v>113000</v>
      </c>
      <c r="J440" s="25" t="s">
        <v>185</v>
      </c>
      <c r="K440" s="25" t="s">
        <v>538</v>
      </c>
      <c r="L440" s="24" t="s">
        <v>539</v>
      </c>
      <c r="M440" s="24" t="s">
        <v>181</v>
      </c>
      <c r="N440" s="26" t="n">
        <v>0</v>
      </c>
      <c r="O440" s="26" t="n">
        <v>1600</v>
      </c>
      <c r="P440" s="26" t="n">
        <v>1600</v>
      </c>
      <c r="Q440" s="25" t="s">
        <v>182</v>
      </c>
    </row>
    <row r="441" customFormat="false" ht="15" hidden="false" customHeight="false" outlineLevel="0" collapsed="false">
      <c r="A441" s="24" t="s">
        <v>10</v>
      </c>
      <c r="B441" s="25" t="s">
        <v>5</v>
      </c>
      <c r="C441" s="24" t="s">
        <v>319</v>
      </c>
      <c r="D441" s="24" t="s">
        <v>607</v>
      </c>
      <c r="E441" s="25" t="s">
        <v>542</v>
      </c>
      <c r="F441" s="25" t="s">
        <v>184</v>
      </c>
      <c r="G441" s="26" t="n">
        <v>201400</v>
      </c>
      <c r="H441" s="26" t="n">
        <v>0</v>
      </c>
      <c r="I441" s="26" t="n">
        <v>201400</v>
      </c>
      <c r="J441" s="25" t="s">
        <v>185</v>
      </c>
      <c r="K441" s="24" t="s">
        <v>534</v>
      </c>
      <c r="L441" s="24" t="s">
        <v>534</v>
      </c>
      <c r="M441" s="24" t="s">
        <v>186</v>
      </c>
      <c r="N441" s="26" t="n">
        <v>0</v>
      </c>
      <c r="O441" s="26" t="n">
        <v>2800</v>
      </c>
      <c r="P441" s="26" t="n">
        <v>2800</v>
      </c>
      <c r="Q441" s="25" t="s">
        <v>187</v>
      </c>
    </row>
    <row r="442" customFormat="false" ht="15" hidden="false" customHeight="false" outlineLevel="0" collapsed="false">
      <c r="A442" s="24" t="s">
        <v>10</v>
      </c>
      <c r="B442" s="25" t="s">
        <v>5</v>
      </c>
      <c r="C442" s="24" t="s">
        <v>319</v>
      </c>
      <c r="D442" s="24" t="s">
        <v>608</v>
      </c>
      <c r="E442" s="25" t="s">
        <v>48</v>
      </c>
      <c r="F442" s="25" t="s">
        <v>218</v>
      </c>
      <c r="G442" s="26" t="n">
        <v>115000</v>
      </c>
      <c r="H442" s="26" t="n">
        <v>0</v>
      </c>
      <c r="I442" s="26" t="n">
        <v>115000</v>
      </c>
      <c r="J442" s="25" t="s">
        <v>185</v>
      </c>
      <c r="K442" s="25" t="s">
        <v>538</v>
      </c>
      <c r="L442" s="24" t="s">
        <v>539</v>
      </c>
      <c r="M442" s="24" t="s">
        <v>181</v>
      </c>
      <c r="N442" s="26" t="n">
        <v>0</v>
      </c>
      <c r="O442" s="26" t="n">
        <v>1600</v>
      </c>
      <c r="P442" s="26" t="n">
        <v>1600</v>
      </c>
      <c r="Q442" s="25" t="s">
        <v>182</v>
      </c>
    </row>
    <row r="443" customFormat="false" ht="15" hidden="false" customHeight="false" outlineLevel="0" collapsed="false">
      <c r="A443" s="24" t="s">
        <v>10</v>
      </c>
      <c r="B443" s="25" t="s">
        <v>5</v>
      </c>
      <c r="C443" s="24" t="s">
        <v>319</v>
      </c>
      <c r="D443" s="24" t="s">
        <v>609</v>
      </c>
      <c r="E443" s="25" t="s">
        <v>543</v>
      </c>
      <c r="F443" s="25" t="s">
        <v>138</v>
      </c>
      <c r="G443" s="26" t="n">
        <v>59000</v>
      </c>
      <c r="H443" s="26" t="n">
        <v>0</v>
      </c>
      <c r="I443" s="26" t="n">
        <v>59000</v>
      </c>
      <c r="J443" s="25" t="s">
        <v>185</v>
      </c>
      <c r="K443" s="24" t="s">
        <v>536</v>
      </c>
      <c r="L443" s="24" t="s">
        <v>539</v>
      </c>
      <c r="M443" s="24" t="s">
        <v>181</v>
      </c>
      <c r="N443" s="26" t="n">
        <v>0</v>
      </c>
      <c r="O443" s="26" t="n">
        <v>800</v>
      </c>
      <c r="P443" s="26" t="n">
        <v>800</v>
      </c>
      <c r="Q443" s="25" t="s">
        <v>182</v>
      </c>
    </row>
    <row r="444" customFormat="false" ht="15" hidden="false" customHeight="false" outlineLevel="0" collapsed="false">
      <c r="A444" s="24" t="s">
        <v>10</v>
      </c>
      <c r="B444" s="25" t="s">
        <v>5</v>
      </c>
      <c r="C444" s="24" t="s">
        <v>319</v>
      </c>
      <c r="D444" s="24" t="s">
        <v>610</v>
      </c>
      <c r="E444" s="25" t="s">
        <v>239</v>
      </c>
      <c r="F444" s="25" t="s">
        <v>151</v>
      </c>
      <c r="G444" s="26" t="n">
        <v>159300</v>
      </c>
      <c r="H444" s="26" t="n">
        <v>0</v>
      </c>
      <c r="I444" s="26" t="n">
        <v>159300</v>
      </c>
      <c r="J444" s="25" t="s">
        <v>185</v>
      </c>
      <c r="K444" s="24" t="s">
        <v>534</v>
      </c>
      <c r="L444" s="24" t="s">
        <v>534</v>
      </c>
      <c r="M444" s="24" t="s">
        <v>186</v>
      </c>
      <c r="N444" s="26" t="n">
        <v>0</v>
      </c>
      <c r="O444" s="26" t="n">
        <v>2300</v>
      </c>
      <c r="P444" s="26" t="n">
        <v>2300</v>
      </c>
      <c r="Q444" s="25" t="s">
        <v>187</v>
      </c>
    </row>
    <row r="445" customFormat="false" ht="15" hidden="false" customHeight="false" outlineLevel="0" collapsed="false">
      <c r="A445" s="24" t="s">
        <v>10</v>
      </c>
      <c r="B445" s="25" t="s">
        <v>5</v>
      </c>
      <c r="C445" s="24" t="s">
        <v>319</v>
      </c>
      <c r="D445" s="24" t="s">
        <v>611</v>
      </c>
      <c r="E445" s="24" t="s">
        <v>358</v>
      </c>
      <c r="F445" s="25" t="s">
        <v>135</v>
      </c>
      <c r="G445" s="26" t="n">
        <v>120800</v>
      </c>
      <c r="H445" s="26" t="n">
        <v>0</v>
      </c>
      <c r="I445" s="26" t="n">
        <v>120800</v>
      </c>
      <c r="J445" s="25" t="s">
        <v>185</v>
      </c>
      <c r="K445" s="24" t="s">
        <v>534</v>
      </c>
      <c r="L445" s="24" t="s">
        <v>534</v>
      </c>
      <c r="M445" s="24" t="s">
        <v>186</v>
      </c>
      <c r="N445" s="26" t="n">
        <v>0</v>
      </c>
      <c r="O445" s="26" t="n">
        <v>1700</v>
      </c>
      <c r="P445" s="26" t="n">
        <v>1700</v>
      </c>
      <c r="Q445" s="25" t="s">
        <v>187</v>
      </c>
    </row>
    <row r="446" customFormat="false" ht="15" hidden="false" customHeight="false" outlineLevel="0" collapsed="false">
      <c r="A446" s="24" t="s">
        <v>10</v>
      </c>
      <c r="B446" s="25" t="s">
        <v>5</v>
      </c>
      <c r="C446" s="24" t="s">
        <v>319</v>
      </c>
      <c r="D446" s="24" t="s">
        <v>612</v>
      </c>
      <c r="E446" s="25" t="s">
        <v>222</v>
      </c>
      <c r="F446" s="25" t="s">
        <v>137</v>
      </c>
      <c r="G446" s="26" t="n">
        <v>49000</v>
      </c>
      <c r="H446" s="26" t="n">
        <v>0</v>
      </c>
      <c r="I446" s="26" t="n">
        <v>49000</v>
      </c>
      <c r="J446" s="25" t="s">
        <v>185</v>
      </c>
      <c r="K446" s="24" t="s">
        <v>535</v>
      </c>
      <c r="L446" s="24" t="s">
        <v>539</v>
      </c>
      <c r="M446" s="24" t="s">
        <v>181</v>
      </c>
      <c r="N446" s="26" t="n">
        <v>0</v>
      </c>
      <c r="O446" s="26" t="n">
        <v>700</v>
      </c>
      <c r="P446" s="26" t="n">
        <v>700</v>
      </c>
      <c r="Q446" s="25" t="s">
        <v>182</v>
      </c>
    </row>
    <row r="447" customFormat="false" ht="15" hidden="false" customHeight="false" outlineLevel="0" collapsed="false">
      <c r="A447" s="24" t="s">
        <v>10</v>
      </c>
      <c r="B447" s="25" t="s">
        <v>5</v>
      </c>
      <c r="C447" s="24" t="s">
        <v>319</v>
      </c>
      <c r="D447" s="24" t="s">
        <v>613</v>
      </c>
      <c r="E447" s="25" t="s">
        <v>272</v>
      </c>
      <c r="F447" s="25" t="s">
        <v>218</v>
      </c>
      <c r="G447" s="26" t="n">
        <v>116400</v>
      </c>
      <c r="H447" s="26" t="n">
        <v>0</v>
      </c>
      <c r="I447" s="26" t="n">
        <v>116400</v>
      </c>
      <c r="J447" s="25" t="s">
        <v>185</v>
      </c>
      <c r="K447" s="24" t="s">
        <v>534</v>
      </c>
      <c r="L447" s="24" t="s">
        <v>534</v>
      </c>
      <c r="M447" s="24" t="s">
        <v>186</v>
      </c>
      <c r="N447" s="26" t="n">
        <v>0</v>
      </c>
      <c r="O447" s="26" t="n">
        <v>1600</v>
      </c>
      <c r="P447" s="26" t="n">
        <v>1600</v>
      </c>
      <c r="Q447" s="25" t="s">
        <v>187</v>
      </c>
    </row>
    <row r="448" customFormat="false" ht="15" hidden="false" customHeight="false" outlineLevel="0" collapsed="false">
      <c r="A448" s="24" t="s">
        <v>10</v>
      </c>
      <c r="B448" s="25" t="s">
        <v>5</v>
      </c>
      <c r="C448" s="24" t="s">
        <v>319</v>
      </c>
      <c r="D448" s="24" t="s">
        <v>614</v>
      </c>
      <c r="E448" s="25" t="s">
        <v>188</v>
      </c>
      <c r="F448" s="25" t="s">
        <v>189</v>
      </c>
      <c r="G448" s="26" t="n">
        <v>9800</v>
      </c>
      <c r="H448" s="26" t="n">
        <v>0</v>
      </c>
      <c r="I448" s="26" t="n">
        <v>9800</v>
      </c>
      <c r="J448" s="25" t="s">
        <v>185</v>
      </c>
      <c r="K448" s="25" t="s">
        <v>538</v>
      </c>
      <c r="L448" s="24" t="s">
        <v>539</v>
      </c>
      <c r="M448" s="24" t="s">
        <v>181</v>
      </c>
      <c r="N448" s="26" t="n">
        <v>0</v>
      </c>
      <c r="O448" s="26" t="n">
        <v>100</v>
      </c>
      <c r="P448" s="26" t="n">
        <v>100</v>
      </c>
      <c r="Q448" s="25" t="s">
        <v>182</v>
      </c>
    </row>
    <row r="449" customFormat="false" ht="15" hidden="false" customHeight="false" outlineLevel="0" collapsed="false">
      <c r="A449" s="24" t="s">
        <v>10</v>
      </c>
      <c r="B449" s="25" t="s">
        <v>5</v>
      </c>
      <c r="C449" s="24" t="s">
        <v>319</v>
      </c>
      <c r="D449" s="24" t="s">
        <v>615</v>
      </c>
      <c r="E449" s="25" t="s">
        <v>459</v>
      </c>
      <c r="F449" s="25" t="s">
        <v>134</v>
      </c>
      <c r="G449" s="26" t="n">
        <v>239200</v>
      </c>
      <c r="H449" s="26" t="n">
        <v>0</v>
      </c>
      <c r="I449" s="26" t="n">
        <v>239200</v>
      </c>
      <c r="J449" s="25" t="s">
        <v>185</v>
      </c>
      <c r="K449" s="24" t="s">
        <v>536</v>
      </c>
      <c r="L449" s="24" t="s">
        <v>539</v>
      </c>
      <c r="M449" s="24" t="s">
        <v>181</v>
      </c>
      <c r="N449" s="26" t="n">
        <v>0</v>
      </c>
      <c r="O449" s="26" t="n">
        <v>3500</v>
      </c>
      <c r="P449" s="26" t="n">
        <v>3500</v>
      </c>
      <c r="Q449" s="25" t="s">
        <v>182</v>
      </c>
    </row>
    <row r="450" customFormat="false" ht="15" hidden="false" customHeight="false" outlineLevel="0" collapsed="false">
      <c r="A450" s="24" t="s">
        <v>10</v>
      </c>
      <c r="B450" s="25" t="s">
        <v>5</v>
      </c>
      <c r="C450" s="24" t="s">
        <v>319</v>
      </c>
      <c r="D450" s="24" t="s">
        <v>616</v>
      </c>
      <c r="E450" s="25" t="s">
        <v>544</v>
      </c>
      <c r="F450" s="25" t="s">
        <v>134</v>
      </c>
      <c r="G450" s="26" t="n">
        <v>149700</v>
      </c>
      <c r="H450" s="26" t="n">
        <v>0</v>
      </c>
      <c r="I450" s="26" t="n">
        <v>149700</v>
      </c>
      <c r="J450" s="25" t="s">
        <v>185</v>
      </c>
      <c r="K450" s="25" t="s">
        <v>538</v>
      </c>
      <c r="L450" s="25" t="s">
        <v>538</v>
      </c>
      <c r="M450" s="24" t="s">
        <v>186</v>
      </c>
      <c r="N450" s="26" t="n">
        <v>0</v>
      </c>
      <c r="O450" s="26" t="n">
        <v>2100</v>
      </c>
      <c r="P450" s="26" t="n">
        <v>2100</v>
      </c>
      <c r="Q450" s="25" t="s">
        <v>187</v>
      </c>
    </row>
    <row r="451" customFormat="false" ht="15" hidden="false" customHeight="false" outlineLevel="0" collapsed="false">
      <c r="A451" s="24" t="s">
        <v>10</v>
      </c>
      <c r="B451" s="25" t="s">
        <v>5</v>
      </c>
      <c r="C451" s="24" t="s">
        <v>319</v>
      </c>
      <c r="D451" s="24" t="s">
        <v>617</v>
      </c>
      <c r="E451" s="25" t="s">
        <v>537</v>
      </c>
      <c r="F451" s="25" t="s">
        <v>184</v>
      </c>
      <c r="G451" s="26" t="n">
        <v>333400</v>
      </c>
      <c r="H451" s="26" t="n">
        <v>17600</v>
      </c>
      <c r="I451" s="26" t="n">
        <v>315800</v>
      </c>
      <c r="J451" s="25" t="s">
        <v>185</v>
      </c>
      <c r="K451" s="24" t="s">
        <v>534</v>
      </c>
      <c r="L451" s="24" t="s">
        <v>534</v>
      </c>
      <c r="M451" s="24" t="s">
        <v>193</v>
      </c>
      <c r="N451" s="26" t="n">
        <v>17600</v>
      </c>
      <c r="O451" s="26" t="n">
        <v>17600</v>
      </c>
      <c r="P451" s="26" t="n">
        <v>0</v>
      </c>
      <c r="Q451" s="24"/>
    </row>
    <row r="452" customFormat="false" ht="15" hidden="false" customHeight="false" outlineLevel="0" collapsed="false">
      <c r="A452" s="24" t="s">
        <v>10</v>
      </c>
      <c r="B452" s="25" t="s">
        <v>5</v>
      </c>
      <c r="C452" s="24" t="s">
        <v>319</v>
      </c>
      <c r="D452" s="24" t="s">
        <v>618</v>
      </c>
      <c r="E452" s="25" t="s">
        <v>541</v>
      </c>
      <c r="F452" s="25" t="s">
        <v>184</v>
      </c>
      <c r="G452" s="26" t="n">
        <v>191700</v>
      </c>
      <c r="H452" s="26" t="n">
        <v>0</v>
      </c>
      <c r="I452" s="26" t="n">
        <v>191700</v>
      </c>
      <c r="J452" s="25" t="s">
        <v>185</v>
      </c>
      <c r="K452" s="24" t="s">
        <v>534</v>
      </c>
      <c r="L452" s="24" t="s">
        <v>534</v>
      </c>
      <c r="M452" s="24" t="s">
        <v>186</v>
      </c>
      <c r="N452" s="26" t="n">
        <v>0</v>
      </c>
      <c r="O452" s="26" t="n">
        <v>2700</v>
      </c>
      <c r="P452" s="26" t="n">
        <v>2700</v>
      </c>
      <c r="Q452" s="25" t="s">
        <v>187</v>
      </c>
    </row>
    <row r="453" customFormat="false" ht="15" hidden="false" customHeight="false" outlineLevel="0" collapsed="false">
      <c r="A453" s="24" t="s">
        <v>10</v>
      </c>
      <c r="B453" s="25" t="s">
        <v>5</v>
      </c>
      <c r="C453" s="24" t="s">
        <v>319</v>
      </c>
      <c r="D453" s="24" t="s">
        <v>619</v>
      </c>
      <c r="E453" s="25" t="s">
        <v>315</v>
      </c>
      <c r="F453" s="25" t="s">
        <v>218</v>
      </c>
      <c r="G453" s="26" t="n">
        <v>126400</v>
      </c>
      <c r="H453" s="26" t="n">
        <v>0</v>
      </c>
      <c r="I453" s="26" t="n">
        <v>126400</v>
      </c>
      <c r="J453" s="25" t="s">
        <v>185</v>
      </c>
      <c r="K453" s="25" t="s">
        <v>456</v>
      </c>
      <c r="L453" s="24" t="s">
        <v>539</v>
      </c>
      <c r="M453" s="24" t="s">
        <v>181</v>
      </c>
      <c r="N453" s="26" t="n">
        <v>0</v>
      </c>
      <c r="O453" s="26" t="n">
        <v>1800</v>
      </c>
      <c r="P453" s="26" t="n">
        <v>1800</v>
      </c>
      <c r="Q453" s="25" t="s">
        <v>182</v>
      </c>
    </row>
    <row r="454" customFormat="false" ht="15" hidden="false" customHeight="false" outlineLevel="0" collapsed="false">
      <c r="A454" s="24" t="s">
        <v>10</v>
      </c>
      <c r="B454" s="25" t="s">
        <v>5</v>
      </c>
      <c r="C454" s="24" t="s">
        <v>319</v>
      </c>
      <c r="D454" s="24" t="s">
        <v>620</v>
      </c>
      <c r="E454" s="25" t="s">
        <v>542</v>
      </c>
      <c r="F454" s="25" t="s">
        <v>184</v>
      </c>
      <c r="G454" s="26" t="n">
        <v>137200</v>
      </c>
      <c r="H454" s="26" t="n">
        <v>0</v>
      </c>
      <c r="I454" s="26" t="n">
        <v>137200</v>
      </c>
      <c r="J454" s="25" t="s">
        <v>185</v>
      </c>
      <c r="K454" s="24" t="s">
        <v>534</v>
      </c>
      <c r="L454" s="24" t="s">
        <v>534</v>
      </c>
      <c r="M454" s="24" t="s">
        <v>186</v>
      </c>
      <c r="N454" s="26" t="n">
        <v>0</v>
      </c>
      <c r="O454" s="26" t="n">
        <v>1900</v>
      </c>
      <c r="P454" s="26" t="n">
        <v>1900</v>
      </c>
      <c r="Q454" s="25" t="s">
        <v>187</v>
      </c>
    </row>
    <row r="455" customFormat="false" ht="15" hidden="false" customHeight="false" outlineLevel="0" collapsed="false">
      <c r="A455" s="24" t="s">
        <v>10</v>
      </c>
      <c r="B455" s="25" t="s">
        <v>5</v>
      </c>
      <c r="C455" s="24" t="s">
        <v>319</v>
      </c>
      <c r="D455" s="24" t="s">
        <v>621</v>
      </c>
      <c r="E455" s="24" t="s">
        <v>361</v>
      </c>
      <c r="F455" s="25" t="s">
        <v>135</v>
      </c>
      <c r="G455" s="26" t="n">
        <v>109100</v>
      </c>
      <c r="H455" s="26" t="n">
        <v>0</v>
      </c>
      <c r="I455" s="26" t="n">
        <v>109100</v>
      </c>
      <c r="J455" s="25" t="s">
        <v>185</v>
      </c>
      <c r="K455" s="24" t="s">
        <v>534</v>
      </c>
      <c r="L455" s="24" t="s">
        <v>534</v>
      </c>
      <c r="M455" s="24" t="s">
        <v>186</v>
      </c>
      <c r="N455" s="26" t="n">
        <v>0</v>
      </c>
      <c r="O455" s="26" t="n">
        <v>1500</v>
      </c>
      <c r="P455" s="26" t="n">
        <v>1500</v>
      </c>
      <c r="Q455" s="25" t="s">
        <v>187</v>
      </c>
    </row>
    <row r="456" customFormat="false" ht="15" hidden="false" customHeight="false" outlineLevel="0" collapsed="false">
      <c r="A456" s="24" t="s">
        <v>10</v>
      </c>
      <c r="B456" s="25" t="s">
        <v>5</v>
      </c>
      <c r="C456" s="24" t="s">
        <v>319</v>
      </c>
      <c r="D456" s="24" t="s">
        <v>531</v>
      </c>
      <c r="E456" s="25" t="s">
        <v>250</v>
      </c>
      <c r="F456" s="25" t="s">
        <v>251</v>
      </c>
      <c r="G456" s="26" t="n">
        <v>247300</v>
      </c>
      <c r="H456" s="26" t="n">
        <v>13100</v>
      </c>
      <c r="I456" s="26" t="n">
        <v>234200</v>
      </c>
      <c r="J456" s="25" t="s">
        <v>185</v>
      </c>
      <c r="K456" s="25" t="s">
        <v>538</v>
      </c>
      <c r="L456" s="25" t="s">
        <v>538</v>
      </c>
      <c r="M456" s="24" t="s">
        <v>193</v>
      </c>
      <c r="N456" s="26" t="n">
        <v>13100</v>
      </c>
      <c r="O456" s="26" t="n">
        <v>13100</v>
      </c>
      <c r="P456" s="26" t="n">
        <v>0</v>
      </c>
      <c r="Q456" s="24"/>
    </row>
    <row r="457" customFormat="false" ht="15" hidden="false" customHeight="false" outlineLevel="0" collapsed="false">
      <c r="A457" s="24" t="s">
        <v>10</v>
      </c>
      <c r="B457" s="25" t="s">
        <v>5</v>
      </c>
      <c r="C457" s="24" t="s">
        <v>319</v>
      </c>
      <c r="D457" s="24" t="s">
        <v>622</v>
      </c>
      <c r="E457" s="24" t="s">
        <v>294</v>
      </c>
      <c r="F457" s="25" t="s">
        <v>140</v>
      </c>
      <c r="G457" s="26" t="n">
        <v>102500</v>
      </c>
      <c r="H457" s="26" t="n">
        <v>0</v>
      </c>
      <c r="I457" s="26" t="n">
        <v>102500</v>
      </c>
      <c r="J457" s="25" t="s">
        <v>185</v>
      </c>
      <c r="K457" s="25" t="s">
        <v>538</v>
      </c>
      <c r="L457" s="25" t="s">
        <v>538</v>
      </c>
      <c r="M457" s="24" t="s">
        <v>186</v>
      </c>
      <c r="N457" s="26" t="n">
        <v>0</v>
      </c>
      <c r="O457" s="26" t="n">
        <v>1500</v>
      </c>
      <c r="P457" s="26" t="n">
        <v>1500</v>
      </c>
      <c r="Q457" s="25" t="s">
        <v>187</v>
      </c>
    </row>
  </sheetData>
  <autoFilter ref="A1:Q4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2026-07-25T14:40:00Z</dcterms:created>
  <dc:creator>openpyxl</dc:creator>
  <dc:description/>
  <dc:language>en-US</dc:language>
  <cp:lastModifiedBy/>
  <dcterms:modified xsi:type="dcterms:W3CDTF">2026-07-25T14:40:01Z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